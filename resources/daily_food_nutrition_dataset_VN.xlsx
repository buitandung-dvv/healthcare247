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food_nutrition_dataset.cs" sheetId="1" r:id="rId5"/>
    <sheet state="visible" name="category_map" sheetId="2" r:id="rId6"/>
  </sheets>
  <definedNames>
    <definedName hidden="1" localSheetId="0" name="_xlnm._FilterDatabase">daily_food_nutrition_dataset.cs!$C$1:$C$1000</definedName>
  </definedNames>
  <calcPr/>
</workbook>
</file>

<file path=xl/sharedStrings.xml><?xml version="1.0" encoding="utf-8"?>
<sst xmlns="http://schemas.openxmlformats.org/spreadsheetml/2006/main" count="3009" uniqueCount="1310">
  <si>
    <t>Food_Item</t>
  </si>
  <si>
    <t>Food_Item_VN</t>
  </si>
  <si>
    <t>Category</t>
  </si>
  <si>
    <t>Category_VN</t>
  </si>
  <si>
    <t>Calories (kcal)</t>
  </si>
  <si>
    <t>Protein (g)</t>
  </si>
  <si>
    <t>Carbohydrates (g)</t>
  </si>
  <si>
    <t>Fat (g)</t>
  </si>
  <si>
    <t>Fiber (g)</t>
  </si>
  <si>
    <t>Sugars (g)</t>
  </si>
  <si>
    <t>Sodium (mg)</t>
  </si>
  <si>
    <t>Cholesterol (mg)</t>
  </si>
  <si>
    <t>Meal_Type</t>
  </si>
  <si>
    <t>Water_Intake (ml)</t>
  </si>
  <si>
    <t>Scrambled Eggs (2 large)</t>
  </si>
  <si>
    <t>Trứng chiên (2 quả lớn)</t>
  </si>
  <si>
    <t>Protein/Dairy</t>
  </si>
  <si>
    <t>Breakfast</t>
  </si>
  <si>
    <t>Whole Wheat Toast (1 slice)</t>
  </si>
  <si>
    <t>Bánh mì nướng lúa mì nguyên hạt (1 lát)</t>
  </si>
  <si>
    <t>Grain</t>
  </si>
  <si>
    <t>Coffee (black)</t>
  </si>
  <si>
    <t>Cà phê đen (không đường)</t>
  </si>
  <si>
    <t>Beverage</t>
  </si>
  <si>
    <t>0.3</t>
  </si>
  <si>
    <t>0.1</t>
  </si>
  <si>
    <t>Banana</t>
  </si>
  <si>
    <t>Chuối</t>
  </si>
  <si>
    <t>Fruit</t>
  </si>
  <si>
    <t>0.4</t>
  </si>
  <si>
    <t>Grilled Chicken Salad</t>
  </si>
  <si>
    <t>Gỏi Gà Nướng</t>
  </si>
  <si>
    <t>Meal/Protein</t>
  </si>
  <si>
    <t>Lunch</t>
  </si>
  <si>
    <t>Apple</t>
  </si>
  <si>
    <t>Táo</t>
  </si>
  <si>
    <t>0.5</t>
  </si>
  <si>
    <t>Snack</t>
  </si>
  <si>
    <t>Salmon (4oz grilled)</t>
  </si>
  <si>
    <t>Cá hồi (113 gram nướng)</t>
  </si>
  <si>
    <t>Protein/Fish</t>
  </si>
  <si>
    <t>Dinner</t>
  </si>
  <si>
    <t>Quinoa (1 cup cooked)</t>
  </si>
  <si>
    <t>Hạt Diêm Mạch (185 gram đã nấu)</t>
  </si>
  <si>
    <t>Steamed Broccoli (1 cup)</t>
  </si>
  <si>
    <t>Bông cải xanh hấp (120 gram)</t>
  </si>
  <si>
    <t>Vegetable</t>
  </si>
  <si>
    <t>0.6</t>
  </si>
  <si>
    <t>Greek Yogurt (plain 1 cup)</t>
  </si>
  <si>
    <t>Sữa Chua Hy Lạp (nguyên chất, 240g)</t>
  </si>
  <si>
    <t>Dairy</t>
  </si>
  <si>
    <t>Oatmeal (1 cup cooked)</t>
  </si>
  <si>
    <t>Bột yến mạch (240 gram đã nấu chín)</t>
  </si>
  <si>
    <t>Blueberries (1/2 cup)</t>
  </si>
  <si>
    <t>Quả việt quất (74 g)</t>
  </si>
  <si>
    <t>0.2</t>
  </si>
  <si>
    <t>Almonds (1 oz)</t>
  </si>
  <si>
    <t>Hạnh nhân (28.35 g)</t>
  </si>
  <si>
    <t>Nut</t>
  </si>
  <si>
    <t>Turkey Sandwich (on wheat)</t>
  </si>
  <si>
    <t>Bánh Mì Thổ Nhĩ Kỳ (bánh mì lúa mì nguyên cám)</t>
  </si>
  <si>
    <t>Meal/Processed</t>
  </si>
  <si>
    <t>Carrot Sticks (1 cup)</t>
  </si>
  <si>
    <t>Cà rốt dạng que (237 ml)</t>
  </si>
  <si>
    <t>Spaghetti Bolognese</t>
  </si>
  <si>
    <t>Mì Ý Sốt Thịt Bò Bằm (Bolognese)</t>
  </si>
  <si>
    <t>Meal/Pasta</t>
  </si>
  <si>
    <t>Side Salad (light dressing)</t>
  </si>
  <si>
    <t>Salad phụ (sốt trộn ít béo)</t>
  </si>
  <si>
    <t>Protein Shake (Whey)</t>
  </si>
  <si>
    <t>Thức uống bổ sung protein (Whey)</t>
  </si>
  <si>
    <t>Supplement</t>
  </si>
  <si>
    <t>Cereal (Frosted Flakes 1 cup)</t>
  </si>
  <si>
    <t>Ngũ cốc (Frosted Flakes, khẩu phần 240 ml)</t>
  </si>
  <si>
    <t>Grain/Processed</t>
  </si>
  <si>
    <t>Milk (2% 1 cup)</t>
  </si>
  <si>
    <t>Sữa giảm béo 2% (240ml)</t>
  </si>
  <si>
    <t>Lentil Soup (1 can)</t>
  </si>
  <si>
    <t>Súp Đậu Lăng (1 lon)</t>
  </si>
  <si>
    <t>Meal/Legume</t>
  </si>
  <si>
    <t>White Rice (1 cup cooked)</t>
  </si>
  <si>
    <t>Cơm trắng (186 g, đã nấu)</t>
  </si>
  <si>
    <t>44.5</t>
  </si>
  <si>
    <t>Tofu Stir-fry</t>
  </si>
  <si>
    <t>Đậu phụ xào</t>
  </si>
  <si>
    <t>Meal/Vegetarian</t>
  </si>
  <si>
    <t>Orange</t>
  </si>
  <si>
    <t>Quả Cam</t>
  </si>
  <si>
    <t>Bagel (plain)</t>
  </si>
  <si>
    <t>Bánh mì vòng (thường)</t>
  </si>
  <si>
    <t>Cream Cheese (2 tbsp)</t>
  </si>
  <si>
    <t>Phô mai kem (khoảng 34 g)</t>
  </si>
  <si>
    <t>Tuna Salad (1/2 cup)</t>
  </si>
  <si>
    <t>Salad Cá Ngừ (1,2 dl)</t>
  </si>
  <si>
    <t>Meal/Fish</t>
  </si>
  <si>
    <t>Crackers (5 whole wheat)</t>
  </si>
  <si>
    <t>Bánh quy giòn (5 chiếc, làm từ lúa mì nguyên hạt)</t>
  </si>
  <si>
    <t>Beef Steak (6oz sirloin)</t>
  </si>
  <si>
    <t>Bít tết bò (thăn nội 170g)</t>
  </si>
  <si>
    <t>Protein/Meat</t>
  </si>
  <si>
    <t>Baked Potato (medium)</t>
  </si>
  <si>
    <t>Khoai tây nướng (cỡ trung bình)</t>
  </si>
  <si>
    <t>Ice Cream (1/2 cup vanilla)</t>
  </si>
  <si>
    <t>Kem Vani (65 g)</t>
  </si>
  <si>
    <t>Dairy/Dessert</t>
  </si>
  <si>
    <t>Pizza (1 slice pepperoni)</t>
  </si>
  <si>
    <t>Pizza (1 lát pepperoni)</t>
  </si>
  <si>
    <t>Avocado Toast (1 slice)</t>
  </si>
  <si>
    <t>Bánh mì nướng bơ (1 lát)</t>
  </si>
  <si>
    <t>Hard-Boiled Egg (1 large)</t>
  </si>
  <si>
    <t>Trứng Gà Luộc Chín (1 quả lớn)</t>
  </si>
  <si>
    <t>Protein</t>
  </si>
  <si>
    <t>Chicken Wrap (with tortilla)</t>
  </si>
  <si>
    <t>Bánh Cuộn Gà (kèm vỏ bánh tortilla)</t>
  </si>
  <si>
    <t>Grapes (1 cup)</t>
  </si>
  <si>
    <t>Nho (150 gram)</t>
  </si>
  <si>
    <t>Cottage Cheese (1/2 cup)</t>
  </si>
  <si>
    <t>Phô mai Cottage (khoảng 120 ml)</t>
  </si>
  <si>
    <t>Burger (cheeseburger)</t>
  </si>
  <si>
    <t>Bánh mì kẹp thịt bò (thịt bò và phô mai)</t>
  </si>
  <si>
    <t>French Fries (medium)</t>
  </si>
  <si>
    <t>Khoai tây chiên (cỡ vừa)</t>
  </si>
  <si>
    <t>Vegetable/Processed</t>
  </si>
  <si>
    <t>Protein Bar</t>
  </si>
  <si>
    <t>Thanh protein</t>
  </si>
  <si>
    <t>Supplement/Processed</t>
  </si>
  <si>
    <t>Black Beans (1/2 cup)</t>
  </si>
  <si>
    <t>Đậu đen (122g)</t>
  </si>
  <si>
    <t>Legume</t>
  </si>
  <si>
    <t>Salsa (1/4 cup)</t>
  </si>
  <si>
    <t>Salsa (khoảng 59 ml)</t>
  </si>
  <si>
    <t>0.8</t>
  </si>
  <si>
    <t>Chicken Noodle Soup (1 can)</t>
  </si>
  <si>
    <t>Súp Gà Nui (1 lon)</t>
  </si>
  <si>
    <t>Peanut Butter (2 tbsp)</t>
  </si>
  <si>
    <t>Bơ Đậu Phộng (30 ml)</t>
  </si>
  <si>
    <t>Celery Sticks (1 cup)</t>
  </si>
  <si>
    <t>Cọng cần tây (100 gram)</t>
  </si>
  <si>
    <t>Cod (4oz baked)</t>
  </si>
  <si>
    <t>Cá tuyết (113g nướng)</t>
  </si>
  <si>
    <t>Green Beans (1 cup)</t>
  </si>
  <si>
    <t>Đậu que (100 gram)</t>
  </si>
  <si>
    <t>Chocolate Chip Cookie (1 large)</t>
  </si>
  <si>
    <t>Bánh quy sô-cô-la chip (1 chiếc cỡ lớn)</t>
  </si>
  <si>
    <t>Dessert</t>
  </si>
  <si>
    <t>Tea (Green 1 cup)</t>
  </si>
  <si>
    <t>Trà xanh (240 ml)</t>
  </si>
  <si>
    <t>Shrimp (3oz steamed)</t>
  </si>
  <si>
    <t>Tôm (85g hấp)</t>
  </si>
  <si>
    <t>Pancakes (2 medium)</t>
  </si>
  <si>
    <t>Bánh kếp (2 cỡ vừa)</t>
  </si>
  <si>
    <t>Maple Syrup (2 tbsp)</t>
  </si>
  <si>
    <t>Xi-rô phong (30 mL)</t>
  </si>
  <si>
    <t>Condiment</t>
  </si>
  <si>
    <t>Sausage Link (1 cooked)</t>
  </si>
  <si>
    <t>Xúc xích liên kết (1 cái đã nấu chín)</t>
  </si>
  <si>
    <t>Smoothie (Fruit &amp; Yogurt)</t>
  </si>
  <si>
    <t>Sinh tố (Trái cây &amp; Sữa chua)</t>
  </si>
  <si>
    <t>Beverage/Meal</t>
  </si>
  <si>
    <t>Tofu (4oz firm)</t>
  </si>
  <si>
    <t>Đậu phụ (113g, dạng cứng)</t>
  </si>
  <si>
    <t>Protein/Vegetarian</t>
  </si>
  <si>
    <t>Brown Rice (1 cup cooked)</t>
  </si>
  <si>
    <t>Gạo lứt (195g đã nấu chín)</t>
  </si>
  <si>
    <t>Bell Pepper (1 medium red)</t>
  </si>
  <si>
    <t>Ớt chuông (1 quả đỏ cỡ vừa)</t>
  </si>
  <si>
    <t>Hummus (2 tbsp)</t>
  </si>
  <si>
    <t>Hummus (30ml)</t>
  </si>
  <si>
    <t>Pita Bread (1 whole wheat)</t>
  </si>
  <si>
    <t>Bánh mì Pita (1 cái làm từ lúa mì nguyên cám)</t>
  </si>
  <si>
    <t>Pork Chop (4oz grilled)</t>
  </si>
  <si>
    <t>Sườn heo (113g nướng)</t>
  </si>
  <si>
    <t>Mashed Potatoes (1 cup)</t>
  </si>
  <si>
    <t>Khoai tây nghiền (240 ml)</t>
  </si>
  <si>
    <t>Corn (1 cup)</t>
  </si>
  <si>
    <t>Ngô (175 g)</t>
  </si>
  <si>
    <t>Soda (1 can Coke)</t>
  </si>
  <si>
    <t>Nước ngọt có ga (1 lon Coca)</t>
  </si>
  <si>
    <t>Pretzels (1 oz)</t>
  </si>
  <si>
    <t>Bánh quy que (28 g)</t>
  </si>
  <si>
    <t>Cheddar Cheese (1 oz)</t>
  </si>
  <si>
    <t>Phô mai Cheddar (28g)</t>
  </si>
  <si>
    <t>Caesar Salad (with chicken)</t>
  </si>
  <si>
    <t>Salad Caesar (kèm thịt gà)</t>
  </si>
  <si>
    <t>Orange Juice (1 cup)</t>
  </si>
  <si>
    <t>Nước cam ép (240 ml)</t>
  </si>
  <si>
    <t>0.7</t>
  </si>
  <si>
    <t>Bacon (2 slices cooked)</t>
  </si>
  <si>
    <t>Thịt ba rọi xông khói (2 lát đã nấu chín)</t>
  </si>
  <si>
    <t>Waffles (2 homemade)</t>
  </si>
  <si>
    <t>Bánh Waffle (2 cái tự làm)</t>
  </si>
  <si>
    <t>Pear</t>
  </si>
  <si>
    <t>Lê</t>
  </si>
  <si>
    <t>Chicken Breast (4oz roasted)</t>
  </si>
  <si>
    <t>Ức gà (113g, quay/nướng)</t>
  </si>
  <si>
    <t>Mixed Nuts (1/4 cup)</t>
  </si>
  <si>
    <t>Hỗn hợp các loại hạt (60 ml)</t>
  </si>
  <si>
    <t>Tilapia (4oz baked)</t>
  </si>
  <si>
    <t>Cá rô phi (113,4g nướng)</t>
  </si>
  <si>
    <t>Asparagus (1 cup steamed)</t>
  </si>
  <si>
    <t>Măng tây (175g hấp)</t>
  </si>
  <si>
    <t>Sweet Potato (1 medium baked)</t>
  </si>
  <si>
    <t>Khoai lang (1 củ nướng cỡ trung bình)</t>
  </si>
  <si>
    <t>Popcorn (3 cups air-popped)</t>
  </si>
  <si>
    <t>Bỏng ngô (3 cốc nổ bằng khí nóng)</t>
  </si>
  <si>
    <t>Raisins (1/4 cup)</t>
  </si>
  <si>
    <t>Đã xảy ra lỗi. Hãy thử lại.</t>
  </si>
  <si>
    <t>Macaroni &amp; Cheese (1 cup)</t>
  </si>
  <si>
    <t>Macaroni và Pho mát (240 ml)</t>
  </si>
  <si>
    <t>Tomato Soup (1 can)</t>
  </si>
  <si>
    <t>Súp Cà Chua (1 lon)</t>
  </si>
  <si>
    <t>Meal/Vegetable</t>
  </si>
  <si>
    <t>Grilled Cheese Sandwich</t>
  </si>
  <si>
    <t>Bánh Mì Nướng Phô Mai</t>
  </si>
  <si>
    <t>Beef Tacos (2 hard shell)</t>
  </si>
  <si>
    <t>Tacos Bò (2 vỏ cứng)</t>
  </si>
  <si>
    <t>Meal/Meat</t>
  </si>
  <si>
    <t>Refried Beans (1/2 cup)</t>
  </si>
  <si>
    <t>Đậu nghiền (120 ml)</t>
  </si>
  <si>
    <t>Guacamole (1/4 cup)</t>
  </si>
  <si>
    <t>Guacamole (60 mL)</t>
  </si>
  <si>
    <t>Vegetable/Condiment</t>
  </si>
  <si>
    <t>Watermelon (1 cup diced)</t>
  </si>
  <si>
    <t>Dưa hấu (152 gram cắt hạt lựu)</t>
  </si>
  <si>
    <t>0.9</t>
  </si>
  <si>
    <t>English Muffin (whole wheat)</t>
  </si>
  <si>
    <t>Bánh Muffin Kiểu Anh (ngũ cốc nguyên hạt)</t>
  </si>
  <si>
    <t>Peanut Butter &amp; Jelly Sandwich</t>
  </si>
  <si>
    <t>Bánh mì kẹp bơ đậu phộng và mứt trái cây (thạch)</t>
  </si>
  <si>
    <t>Clam Chowder (1 cup)</t>
  </si>
  <si>
    <t>Súp nghêu (240 ml)</t>
  </si>
  <si>
    <t>Meal/Seafood</t>
  </si>
  <si>
    <t>Iced Tea (Sweetened 16oz)</t>
  </si>
  <si>
    <t>Trà đá (đã làm ngọt 473 ml)</t>
  </si>
  <si>
    <t>Lasagna (1 serving meat)</t>
  </si>
  <si>
    <t>Lasagna (1 khẩu phần thịt)</t>
  </si>
  <si>
    <t>Garlic Bread (1 slice)</t>
  </si>
  <si>
    <t>Bánh Mì Bơ Tỏi (1 lát)</t>
  </si>
  <si>
    <t>Chocolate Milk (1 cup)</t>
  </si>
  <si>
    <t>Sữa Sô-cô-la (240 ml)</t>
  </si>
  <si>
    <t>Beverage/Dairy</t>
  </si>
  <si>
    <t>White Bread (1 slice)</t>
  </si>
  <si>
    <t>Bánh mì trắng (1 lát)</t>
  </si>
  <si>
    <t>Jelly (1 tbsp grape)</t>
  </si>
  <si>
    <t>Thạch (15 gam nho)</t>
  </si>
  <si>
    <t>Veggie Burger (1 patty)</t>
  </si>
  <si>
    <t>Burger Rau Củ (1 miếng chả)</t>
  </si>
  <si>
    <t>Bun (hamburger)</t>
  </si>
  <si>
    <t>Bánh mì kẹp thịt (Hamburger)</t>
  </si>
  <si>
    <t>Ketchup (1 tbsp)</t>
  </si>
  <si>
    <t>Sốt cà chua (15 mL)</t>
  </si>
  <si>
    <t>Muffin (Blueberry 1 large)</t>
  </si>
  <si>
    <t>Bánh muffin (Việt quất, 1 cái lớn)</t>
  </si>
  <si>
    <t>Grain/Dessert</t>
  </si>
  <si>
    <t>Coffee (with cream/sugar)</t>
  </si>
  <si>
    <t>Cà phê (có kem/đường)</t>
  </si>
  <si>
    <t>Potato Chips (1 oz)</t>
  </si>
  <si>
    <t>Khoai tây chiên (1 oz)</t>
  </si>
  <si>
    <t>Snack/Processed</t>
  </si>
  <si>
    <t>Tzatziki Sauce (2 tbsp)</t>
  </si>
  <si>
    <t>Sốt Tzatziki (khoảng 30 ml)</t>
  </si>
  <si>
    <t>Condiment/Dairy</t>
  </si>
  <si>
    <t>Scallops (3oz seared)</t>
  </si>
  <si>
    <t>Sò điệp (85g áp chảo)</t>
  </si>
  <si>
    <t>Protein/Seafood</t>
  </si>
  <si>
    <t>Risotto (Mushroom 1 cup)</t>
  </si>
  <si>
    <t>Cơm Risotto (Nấm, khẩu phần 240g)</t>
  </si>
  <si>
    <t>Meal/Grain</t>
  </si>
  <si>
    <t>Caprese Salad</t>
  </si>
  <si>
    <t>Salad Caprese</t>
  </si>
  <si>
    <t>Balsamic Vinaigrette (2 tbsp)</t>
  </si>
  <si>
    <t>Nước xốt giấm Balsamic (30 mL)</t>
  </si>
  <si>
    <t>Cherries (1 cup)</t>
  </si>
  <si>
    <t>Quả Cherry (138 gram)</t>
  </si>
  <si>
    <t>Turkey Bacon (2 slices)</t>
  </si>
  <si>
    <t>Thịt xông khói gà tây (2 lát)</t>
  </si>
  <si>
    <t>Grits (1 cup cooked)</t>
  </si>
  <si>
    <t>Bột ngô xay nhuyễn (236,6 ml đã nấu chín)</t>
  </si>
  <si>
    <t>Butter (1 tbsp)</t>
  </si>
  <si>
    <t>Bơ (15ml)</t>
  </si>
  <si>
    <t>Meatball Sub (6 inch)</t>
  </si>
  <si>
    <t>Bánh Mì Kẹp Thịt Viên (15 cm)</t>
  </si>
  <si>
    <t>Kiwifruit (1 medium)</t>
  </si>
  <si>
    <t>Quả kiwi (1 quả cỡ vừa)</t>
  </si>
  <si>
    <t>Beef Jerky (1 oz)</t>
  </si>
  <si>
    <t>Thịt bò khô (khoảng 28,35 g)</t>
  </si>
  <si>
    <t>Figs (2 medium)</t>
  </si>
  <si>
    <t>Quả sung (2 quả cỡ vừa)</t>
  </si>
  <si>
    <t>Lobster (3oz steamed)</t>
  </si>
  <si>
    <t>Tôm hùm (85g hấp)</t>
  </si>
  <si>
    <t>Melted Butter (for lobster)</t>
  </si>
  <si>
    <t>Bơ đun chảy (dùng kèm tôm hùm)</t>
  </si>
  <si>
    <t>Corn on the Cob (1 large)</t>
  </si>
  <si>
    <t>Bắp/Ngô luộc/nướng nguyên trái (1 trái lớn)</t>
  </si>
  <si>
    <t>Vegetable Soup (1 can)</t>
  </si>
  <si>
    <t>Súp Rau Củ (1 lon)</t>
  </si>
  <si>
    <t>Saltine Crackers (5 crackers)</t>
  </si>
  <si>
    <t>Bánh quy giòn mặn (5 cái)</t>
  </si>
  <si>
    <t>Mango (1 cup slices)</t>
  </si>
  <si>
    <t>Xoài (165g miếng cắt lát)</t>
  </si>
  <si>
    <t>Cheesecake (1 slice)</t>
  </si>
  <si>
    <t>Bánh phô mai (1 lát)</t>
  </si>
  <si>
    <t>Pad Thai (Chicken 1.5 cups)</t>
  </si>
  <si>
    <t>Pad Thái (Gà 355 ml)</t>
  </si>
  <si>
    <t>Spring Roll (Veg 2 rolls)</t>
  </si>
  <si>
    <t>Chả giò (Cuốn rau củ, 2 cuốn)</t>
  </si>
  <si>
    <t>Coconut Water (1 cup)</t>
  </si>
  <si>
    <t>Nước dừa (240ml)</t>
  </si>
  <si>
    <t>Kimchi (1/2 cup)</t>
  </si>
  <si>
    <t>Kimchi (118 ml)</t>
  </si>
  <si>
    <t>Side</t>
  </si>
  <si>
    <t>Sashimi (Salmon 3 pcs)</t>
  </si>
  <si>
    <t>Sashimi (Cá hồi 3 lát)</t>
  </si>
  <si>
    <t>Wasabi (1 tsp)</t>
  </si>
  <si>
    <t>Wasabi (5 ml)</t>
  </si>
  <si>
    <t>Seaweed Salad (1/2 cup)</t>
  </si>
  <si>
    <t>Gỏi rong biển (khoảng 120 ml)</t>
  </si>
  <si>
    <t>French Onion Soup (1 cup)</t>
  </si>
  <si>
    <t>Súp hành tây kiểu Pháp (240 ml)</t>
  </si>
  <si>
    <t>Meal</t>
  </si>
  <si>
    <t>Croutons (1/4 cup)</t>
  </si>
  <si>
    <t>Bánh mì sấy giòn (khoảng 60 ml)</t>
  </si>
  <si>
    <t>Shepherd's Pie (1 serving)</t>
  </si>
  <si>
    <t>Bánh Thịt Cừu Đút Lò (1 khẩu phần)</t>
  </si>
  <si>
    <t>Green Peas (1/2 cup)</t>
  </si>
  <si>
    <t>Đậu Hà Lan Xanh (120ml)</t>
  </si>
  <si>
    <t>Apple Pie (1 slice)</t>
  </si>
  <si>
    <t>Bánh Táo (1 lát)</t>
  </si>
  <si>
    <t>Gin &amp; Tonic (1 drink)</t>
  </si>
  <si>
    <t>Gin &amp; Tonic (1 ly)</t>
  </si>
  <si>
    <t>Red Wine (5 oz glass)</t>
  </si>
  <si>
    <t>Rượu Vang Đỏ (cốc 150 ml)</t>
  </si>
  <si>
    <t>Halibut (4oz baked)</t>
  </si>
  <si>
    <t>Cá bơn Đại Tây Dương nướng (khoảng 113 gram)</t>
  </si>
  <si>
    <t>Quinoa Salad (1 cup)</t>
  </si>
  <si>
    <t>Salad Hạt Diêm Mạch (240g)</t>
  </si>
  <si>
    <t>Lemonade (1 cup)</t>
  </si>
  <si>
    <t>Nước chanh (240 ml)</t>
  </si>
  <si>
    <t>Pistachios (1 oz shelled)</t>
  </si>
  <si>
    <t>Hạt dẻ cười (28 gam tách vỏ)</t>
  </si>
  <si>
    <t>Oat Milk (1 cup)</t>
  </si>
  <si>
    <t>Sữa Yến Mạch (240 ml)</t>
  </si>
  <si>
    <t>Beverage/Dairy-Alt</t>
  </si>
  <si>
    <t>Biscuits and Gravy (1 serving)</t>
  </si>
  <si>
    <t>Bánh quy và Nước sốt (1 khẩu phần)</t>
  </si>
  <si>
    <t>Avocado (1/2 fruit)</t>
  </si>
  <si>
    <t>Quả Bơ (1/2 quả)</t>
  </si>
  <si>
    <t>Corn Flakes (1 cup)</t>
  </si>
  <si>
    <t>Bánh ngô lát (237 ml)</t>
  </si>
  <si>
    <t>T-Bone Steak (6oz)</t>
  </si>
  <si>
    <t>Bít tết T-Bone (170g)</t>
  </si>
  <si>
    <t>Creamed Spinach (1/2 cup)</t>
  </si>
  <si>
    <t>Cải bó xôi kem (120 ml)</t>
  </si>
  <si>
    <t>Pecans (1 oz)</t>
  </si>
  <si>
    <t>Hạt hồ đào (28,35g)</t>
  </si>
  <si>
    <t>Fruit Cocktail (canned 1 cup)</t>
  </si>
  <si>
    <t>Hỗn hợp trái cây đóng hộp (240g)</t>
  </si>
  <si>
    <t>Ramen (Instant 1 pack)</t>
  </si>
  <si>
    <t>Mì Ramen (Mì ăn liền 1 gói)</t>
  </si>
  <si>
    <t>Mocha Latte (16oz)</t>
  </si>
  <si>
    <t>Latte Mocha (480ml)</t>
  </si>
  <si>
    <t>Cucumber Slices (1 cup)</t>
  </si>
  <si>
    <t>Dưa chuột thái lát (240 ml)</t>
  </si>
  <si>
    <t>Feta Cheese (1 oz)</t>
  </si>
  <si>
    <t>Phô mai Feta (28,35 g)</t>
  </si>
  <si>
    <t>Olives (Kalamata 5 large)</t>
  </si>
  <si>
    <t>Ô liu (Kalamata 5 quả lớn)</t>
  </si>
  <si>
    <t>Chicken Alfredo (1.5 cups)</t>
  </si>
  <si>
    <t>Gà Alfredo (khoảng 355 ml)</t>
  </si>
  <si>
    <t>Breadstick (1 large)</t>
  </si>
  <si>
    <t>Bánh mì que (1 cái lớn)</t>
  </si>
  <si>
    <t>Cobb Salad</t>
  </si>
  <si>
    <t>Salad Cobb</t>
  </si>
  <si>
    <t>Blue Cheese Dressing (2 tbsp)</t>
  </si>
  <si>
    <t>Sốt phô mai xanh (30 ml)</t>
  </si>
  <si>
    <t>Mandarin Orange (1 medium)</t>
  </si>
  <si>
    <t>Quýt (1 quả cỡ trung bình)</t>
  </si>
  <si>
    <t>Cashews (1 oz roasted)</t>
  </si>
  <si>
    <t>Hạt điều (28g, rang)</t>
  </si>
  <si>
    <t>Eggo Waffle (2 waffles)</t>
  </si>
  <si>
    <t>Bánh Waffle Eggo (2 chiếc)</t>
  </si>
  <si>
    <t>Diet Soda (1 can)</t>
  </si>
  <si>
    <t>Nước Ngọt Ăn Kiêng (1 lon)</t>
  </si>
  <si>
    <t>Pulled Pork Sandwich</t>
  </si>
  <si>
    <t>Bánh Mì Thịt Heo Xé (Kẹp)</t>
  </si>
  <si>
    <t>Macadamia Nuts (1 oz)</t>
  </si>
  <si>
    <t>Hạt Macadamia (khoảng 28 gram)</t>
  </si>
  <si>
    <t>Crab Cakes (2 medium)</t>
  </si>
  <si>
    <t>Bánh cua (2 cỡ vừa)</t>
  </si>
  <si>
    <t>Tartar Sauce (2 tbsp)</t>
  </si>
  <si>
    <t>Sốt Tartar (30 ml)</t>
  </si>
  <si>
    <t>Lemon Bar (1 square)</t>
  </si>
  <si>
    <t>Bánh chanh (1 miếng vuông)</t>
  </si>
  <si>
    <t>Almond Milk (Unsweetened 1 cup)</t>
  </si>
  <si>
    <t>Sữa Hạnh Nhân (Không Đường 240 ml)</t>
  </si>
  <si>
    <t>Rice Krispies (1.5 cups)</t>
  </si>
  <si>
    <t>Ngũ cốc Rice Krispies (3,55 đề-xi-lít)</t>
  </si>
  <si>
    <t>Sugar (1 tsp for cereal)</t>
  </si>
  <si>
    <t>Đường (5g dùng cho ngũ cốc)</t>
  </si>
  <si>
    <t>Tuna (Canned 3oz in water)</t>
  </si>
  <si>
    <t>Cá ngừ đóng hộp (85g, ngâm trong nước)</t>
  </si>
  <si>
    <t>Mayonnaise (1 tbsp)</t>
  </si>
  <si>
    <t>Sốt Mayonnaise (15 ml)</t>
  </si>
  <si>
    <t>Pickle (1 spear dill)</t>
  </si>
  <si>
    <t>Dưa chuột muối chua (1 miếng dưa chuột muối thì là)</t>
  </si>
  <si>
    <t>Lobster Bisque (1 cup)</t>
  </si>
  <si>
    <t>Súp kem tôm hùm (240 mL)</t>
  </si>
  <si>
    <t>Reuben Sandwich</t>
  </si>
  <si>
    <t>Bánh mì kẹp Reuben</t>
  </si>
  <si>
    <t>Sauerkraut (1/4 cup side)</t>
  </si>
  <si>
    <t>Dưa cải bắp (phần ăn kèm 60 ml)</t>
  </si>
  <si>
    <t>Mushroom (White 1 cup sliced)</t>
  </si>
  <si>
    <t>Nấm (Nấm trắng 70 gram thái lát)</t>
  </si>
  <si>
    <t>Soy Milk (Original 1 cup)</t>
  </si>
  <si>
    <t>Sữa đậu nành (Nguyên bản 240 ml)</t>
  </si>
  <si>
    <t>Chicken Tikka Masala (1.5 cups)</t>
  </si>
  <si>
    <t>Gà Tikka Masala (355 ml)</t>
  </si>
  <si>
    <t>Naan Bread (1 piece)</t>
  </si>
  <si>
    <t>Bánh mì Naan (1 suất)</t>
  </si>
  <si>
    <t>Cucumber Salad (1/2 cup)</t>
  </si>
  <si>
    <t>Salad dưa chuột (120 gam)</t>
  </si>
  <si>
    <t>Vodka Soda (1 drink)</t>
  </si>
  <si>
    <t>Rượu Vodka Soda (1 khẩu phần)</t>
  </si>
  <si>
    <t>Chocolate Croissant</t>
  </si>
  <si>
    <t>Bánh sừng bò sô-cô-la</t>
  </si>
  <si>
    <t>Sweet &amp; Sour Chicken (1 cup)</t>
  </si>
  <si>
    <t>Gà Xào Chua Ngọt (240 mL)</t>
  </si>
  <si>
    <t>Egg Drop Soup (1 cup)</t>
  </si>
  <si>
    <t>Súp Trứng (khẩu phần 250 ml)</t>
  </si>
  <si>
    <t>String Cheese (1 stick)</t>
  </si>
  <si>
    <t>Phô mai sợi (1 thanh, 28g)</t>
  </si>
  <si>
    <t>Turkey Burger (1 patty)</t>
  </si>
  <si>
    <t>Bánh kẹp gà tây (1 miếng/phần ăn)</t>
  </si>
  <si>
    <t>Mustard (1 tbsp yellow)</t>
  </si>
  <si>
    <t>Mù tạt (15 ml mù tạt vàng)</t>
  </si>
  <si>
    <t>Potato Salad (1/2 cup)</t>
  </si>
  <si>
    <t>Gỏi khoai tây (120 ml)</t>
  </si>
  <si>
    <t>Cranberry Juice (1 cup)</t>
  </si>
  <si>
    <t>Nước ép Nam Việt Quất (240 ml)</t>
  </si>
  <si>
    <t>Spinach (1 cup raw)</t>
  </si>
  <si>
    <t>Rau cải bó xôi (khoảng 240g tươi)</t>
  </si>
  <si>
    <t>Chicken Piccata (1 serving)</t>
  </si>
  <si>
    <t>Thịt gà Piccata (1 khẩu phần)</t>
  </si>
  <si>
    <t>Angel Hair Pasta (1 cup)</t>
  </si>
  <si>
    <t>Mì Sợi Tóc Thiên Thần (một khẩu phần)</t>
  </si>
  <si>
    <t>Olive Oil (1 tbsp)</t>
  </si>
  <si>
    <t>Dầu ô liu (15 ml)</t>
  </si>
  <si>
    <t>Garlic (1 clove)</t>
  </si>
  <si>
    <t>Tỏi (1 tép)</t>
  </si>
  <si>
    <t>Salami (3 slices)</t>
  </si>
  <si>
    <t>Salami (3 lát)</t>
  </si>
  <si>
    <t>Protein/Processed</t>
  </si>
  <si>
    <t>Provolone Cheese (1 slice)</t>
  </si>
  <si>
    <t>Phô mai Provolone (1 lát)</t>
  </si>
  <si>
    <t>Ginger Ale (1 can)</t>
  </si>
  <si>
    <t>Nước gừng lên men (1 lon)</t>
  </si>
  <si>
    <t>Shrimp Scampi (1 cup)</t>
  </si>
  <si>
    <t>Tôm xào bơ tỏi (240 mL)</t>
  </si>
  <si>
    <t>Tiramisu (1 slice)</t>
  </si>
  <si>
    <t>Tiramisu (1 lát)</t>
  </si>
  <si>
    <t>Cereal Bar (Fruit)</t>
  </si>
  <si>
    <t>Thanh ngũ cốc (Trái cây)</t>
  </si>
  <si>
    <t>Veal Parmesan (1 serving)</t>
  </si>
  <si>
    <t>Thịt bê kiểu Parmesan (1 khẩu phần)</t>
  </si>
  <si>
    <t>Spaghetti (side)</t>
  </si>
  <si>
    <t>Mì Ý (phần ăn kèm)</t>
  </si>
  <si>
    <t>Hot Chocolate (1 cup)</t>
  </si>
  <si>
    <t>Sô cô la nóng (240 ml)</t>
  </si>
  <si>
    <t>Coconut Shrimp (5 pcs)</t>
  </si>
  <si>
    <t>Tôm chiên dừa (5 miếng)</t>
  </si>
  <si>
    <t>Sweet Chili Sauce (2 tbsp)</t>
  </si>
  <si>
    <t>Sốt ớt ngọt (30 ml)</t>
  </si>
  <si>
    <t>White Wine (5 oz glass)</t>
  </si>
  <si>
    <t>Rượu vang trắng (ly 150 ml)</t>
  </si>
  <si>
    <t>Trail Mix (1/4 cup)</t>
  </si>
  <si>
    <t>Hỗn hợp hạt dinh dưỡng (60 mL)</t>
  </si>
  <si>
    <t>Onion Rings (6 rings)</t>
  </si>
  <si>
    <t>Vòng hành chiên (6 chiếc)</t>
  </si>
  <si>
    <t>Poached Egg (1 large)</t>
  </si>
  <si>
    <t>Trứng chần (1 quả lớn)</t>
  </si>
  <si>
    <t>Canadian Bacon (2 slices)</t>
  </si>
  <si>
    <t>Thịt Heo Kiểu Canada (2 lát)</t>
  </si>
  <si>
    <t>Eggs Benedict (1 serving)</t>
  </si>
  <si>
    <t>Trứng Benedict (1 khẩu phần)</t>
  </si>
  <si>
    <t>Hollandaise Sauce (2 tbsp)</t>
  </si>
  <si>
    <t>Sốt Hollandaise (30 ml)</t>
  </si>
  <si>
    <t>Spinach Artichoke Dip (1/4 cup)</t>
  </si>
  <si>
    <t>Tortilla Chips (1 oz)</t>
  </si>
  <si>
    <t>Bánh Tortilla Chiên (28,35 g)</t>
  </si>
  <si>
    <t>Chicken Kebab (2 skewers)</t>
  </si>
  <si>
    <t>Gà xiên nướng Kebab (2 que)</t>
  </si>
  <si>
    <t>Bell Peppers &amp; Onions (sautéed)</t>
  </si>
  <si>
    <t>Ớt chuông và Hành tây (áp chảo)</t>
  </si>
  <si>
    <t>Hummus Wrap (large)</t>
  </si>
  <si>
    <t>Bánh cuộn Hummus (cỡ lớn)</t>
  </si>
  <si>
    <t>Kombucha (1 cup)</t>
  </si>
  <si>
    <t>Kombucha (240 ml)</t>
  </si>
  <si>
    <t>Beef Stroganoff (1.5 cups)</t>
  </si>
  <si>
    <t>Bò Stroganoff (355 ml)</t>
  </si>
  <si>
    <t>Egg Noodles (1 cup cooked)</t>
  </si>
  <si>
    <t>Mì trứng (1 suất 160g đã nấu)</t>
  </si>
  <si>
    <t>Cottage Cheese (1 cup low fat)</t>
  </si>
  <si>
    <t>Phô mai tươi Cottage (240 gram ít béo)</t>
  </si>
  <si>
    <t>Tomato (1 medium sliced)</t>
  </si>
  <si>
    <t>Cà chua (1 quả cỡ trung bình thái lát)</t>
  </si>
  <si>
    <t>Black Pepper (1 tsp)</t>
  </si>
  <si>
    <t>Hạt tiêu đen (5 ml)</t>
  </si>
  <si>
    <t>Chocolate Pudding (1/2 cup)</t>
  </si>
  <si>
    <t>Bánh Pút-đinh Sô-cô-la (120 ml)</t>
  </si>
  <si>
    <t>Mackerel (3oz cooked)</t>
  </si>
  <si>
    <t>Cá thu (85g đã nấu chín)</t>
  </si>
  <si>
    <t>Collard Greens (1 cup cooked)</t>
  </si>
  <si>
    <t>Cải rổ (190 gam đã nấu)</t>
  </si>
  <si>
    <t>Ham (3oz deli sliced)</t>
  </si>
  <si>
    <t>Thịt giăm bông (85g, thái lát)</t>
  </si>
  <si>
    <t>Swiss Cheese (1 slice)</t>
  </si>
  <si>
    <t>Phô mai Thụy Sĩ (1 lát)</t>
  </si>
  <si>
    <t>Rye Bread (1 slice)</t>
  </si>
  <si>
    <t>Bánh mì lúa mạch đen (1 lát)</t>
  </si>
  <si>
    <t>Potato Leek Soup (1 cup)</t>
  </si>
  <si>
    <t>Súp Khoai Tây Tỏi Tây (240 ml)</t>
  </si>
  <si>
    <t>Brie Cheese (1 oz)</t>
  </si>
  <si>
    <t>Phô mai Brie (28 gram)</t>
  </si>
  <si>
    <t>Water Cracker (5 crackers)</t>
  </si>
  <si>
    <t>Bánh quy lạt (5 cái)</t>
  </si>
  <si>
    <t>Grapefruit (1/2 medium)</t>
  </si>
  <si>
    <t>Bưởi (1/2 quả cỡ trung bình)</t>
  </si>
  <si>
    <t>Veggie Straws (1 oz)</t>
  </si>
  <si>
    <t>Ống rau củ (28 g)</t>
  </si>
  <si>
    <t>Fish Tacos (2 tacos)</t>
  </si>
  <si>
    <t>Tacos cá (2 cái)</t>
  </si>
  <si>
    <t>Cabbage Slaw (side)</t>
  </si>
  <si>
    <t>Salad bắp cải (món ăn kèm)</t>
  </si>
  <si>
    <t>Lime (juice of 1)</t>
  </si>
  <si>
    <t>Nước chanh (từ 1 quả, khoảng 30 mL)</t>
  </si>
  <si>
    <t>Beer (12 oz light)</t>
  </si>
  <si>
    <t>Bia (355 ml, loại nhẹ)</t>
  </si>
  <si>
    <t>Danish (Cheese 1 medium)</t>
  </si>
  <si>
    <t>Bánh Đan Mạch (Phô Mai, 1 chiếc cỡ trung bình)</t>
  </si>
  <si>
    <t>Kefir (Plain 1 cup)</t>
  </si>
  <si>
    <t>Kefir (Không đường 240ml)</t>
  </si>
  <si>
    <t>Gnocchi (1 cup)</t>
  </si>
  <si>
    <t>Gnocchi (khoảng 240 gram)</t>
  </si>
  <si>
    <t>Pesto Sauce (1/4 cup)</t>
  </si>
  <si>
    <t>Sốt Pesto (60g)</t>
  </si>
  <si>
    <t>Pine Nuts (1 tbsp)</t>
  </si>
  <si>
    <t>Hạt thông (10 g)</t>
  </si>
  <si>
    <t>Chai Latte (12 oz)</t>
  </si>
  <si>
    <t>Chai Latte (355 ml)</t>
  </si>
  <si>
    <t>Manicotti (2 shells cheese)</t>
  </si>
  <si>
    <t>Mì ống Manicotti (2 vỏ mì nhồi phô mai)</t>
  </si>
  <si>
    <t>Italian Sausage (1 link)</t>
  </si>
  <si>
    <t>Xúc Xích Tươi Ý (80 g)</t>
  </si>
  <si>
    <t>Jicama (1 cup sticks)</t>
  </si>
  <si>
    <t>Củ đậu (130 gram dạng thanh)</t>
  </si>
  <si>
    <t>Chili Powder (1 tsp)</t>
  </si>
  <si>
    <t>Bột ớt (khoảng 5 ml)</t>
  </si>
  <si>
    <t>Ants on a Log (4 pcs)</t>
  </si>
  <si>
    <t>Cần tây phết bơ đậu phộng rắc nho khô (4 miếng)</t>
  </si>
  <si>
    <t>Split Pea Soup (1 cup)</t>
  </si>
  <si>
    <t>Súp đậu Hà Lan sấy khô (240 ml)</t>
  </si>
  <si>
    <t>Ham &amp; Cheese Croissant</t>
  </si>
  <si>
    <t>Bánh Croissant Nhân Thịt Nguội &amp; Phô Mai</t>
  </si>
  <si>
    <t>Espresso (double shot)</t>
  </si>
  <si>
    <t>Cà phê espresso (hai liều)</t>
  </si>
  <si>
    <t>Ricotta Cheese (1/4 cup)</t>
  </si>
  <si>
    <t>Phô mai Ricotta (60 ml)</t>
  </si>
  <si>
    <t>Chicken &amp; Rice Soup (1 can)</t>
  </si>
  <si>
    <t>Súp Gà và Cơm (1 lon)</t>
  </si>
  <si>
    <t>Salt (1/4 tsp)</t>
  </si>
  <si>
    <t>Muối (1.45 gam)</t>
  </si>
  <si>
    <t>Guava</t>
  </si>
  <si>
    <t>Ổi</t>
  </si>
  <si>
    <t>Club Sandwich</t>
  </si>
  <si>
    <t>Bánh mì Club</t>
  </si>
  <si>
    <t>Pickle (1 whole dill)</t>
  </si>
  <si>
    <t>Dưa chuột muối (một trái dưa muối thì là nguyên vẹn)</t>
  </si>
  <si>
    <t>Turkey Chili (1 cup)</t>
  </si>
  <si>
    <t>Chili Gà Tây (237 mL)</t>
  </si>
  <si>
    <t>Sour Cream (2 tbsp)</t>
  </si>
  <si>
    <t>Kem chua (30 ml)</t>
  </si>
  <si>
    <t>Shredded Cheese (Cheddar 1/4 cup)</t>
  </si>
  <si>
    <t>Phô mai sợi (Cheddar, 60 ml)</t>
  </si>
  <si>
    <t>Matcha Latte (12 oz)</t>
  </si>
  <si>
    <t>Trà Xanh Matcha Latte (355 ml)</t>
  </si>
  <si>
    <t>Chocolate Donut (1 medium)</t>
  </si>
  <si>
    <t>Bánh Donut Sô-cô-la (1 cỡ vừa)</t>
  </si>
  <si>
    <t>Tuna Melt</t>
  </si>
  <si>
    <t>Bánh mì kẹp cá ngừ phô mai tan chảy</t>
  </si>
  <si>
    <t>Apple Cider (1 cup)</t>
  </si>
  <si>
    <t>Nước ép Táo Lên men (240 ml)</t>
  </si>
  <si>
    <t>Beef Burrito (large)</t>
  </si>
  <si>
    <t>Bánh burrito bò (cỡ lớn)</t>
  </si>
  <si>
    <t>Pico de Gallo (1/4 cup)</t>
  </si>
  <si>
    <t>Pico de Gallo (khoảng 59 ml)</t>
  </si>
  <si>
    <t>Corn Tortilla (1 medium)</t>
  </si>
  <si>
    <t>Bánh ngô Tor-ti-a (1 cái cỡ vừa)</t>
  </si>
  <si>
    <t>Mussels (3oz steamed)</t>
  </si>
  <si>
    <t>Trai vẹm (85g hấp)</t>
  </si>
  <si>
    <t>White Wine Sauce (1/4 cup)</t>
  </si>
  <si>
    <t>Sốt Rượu Vang Trắng (60 ml)</t>
  </si>
  <si>
    <t>French Bread (2 slices)</t>
  </si>
  <si>
    <t>Bánh mì Pháp (2 lát)</t>
  </si>
  <si>
    <t>Blackberries (1 cup)</t>
  </si>
  <si>
    <t>Quả mâm xôi đen (100 gram)</t>
  </si>
  <si>
    <t>Cheese Danish</t>
  </si>
  <si>
    <t>Bánh ngàn lớp nhân phô mai</t>
  </si>
  <si>
    <t>Chicken Salad Sandwich</t>
  </si>
  <si>
    <t>Bánh mì kẹp salad gà</t>
  </si>
  <si>
    <t>Soyrizo (2 oz)</t>
  </si>
  <si>
    <t>Soyrizo (57 g)</t>
  </si>
  <si>
    <t>Hash Browns (1 cup)</t>
  </si>
  <si>
    <t>Khoai tây áp chảo (240 ml)</t>
  </si>
  <si>
    <t>Ketchup (1 packet)</t>
  </si>
  <si>
    <t>Sốt cà chua (1 gói)</t>
  </si>
  <si>
    <t>Philly Cheesesteak (6 inch)</t>
  </si>
  <si>
    <t>Bánh mì kẹp bò phô mai kiểu Philly (15 cm)</t>
  </si>
  <si>
    <t>Cheese Whiz (2 tbsp)</t>
  </si>
  <si>
    <t>Phô mai phết Cheese Whiz (30 ml)</t>
  </si>
  <si>
    <t>Condiment/Processed</t>
  </si>
  <si>
    <t>Onions (sautéed 1/4 cup)</t>
  </si>
  <si>
    <t>Hành tây (áp chảo 60 ml)</t>
  </si>
  <si>
    <t>Raspberries (1 cup)</t>
  </si>
  <si>
    <t>Quả Mâm Xôi Đỏ (123g)</t>
  </si>
  <si>
    <t>Cheesy Grits (1 cup)</t>
  </si>
  <si>
    <t>Bột ngô phô mai (240 mililít)</t>
  </si>
  <si>
    <t>Collard Greens (with ham hock)</t>
  </si>
  <si>
    <t>Cải rổ (kèm giò heo hun khói)</t>
  </si>
  <si>
    <t>Fried Okra (1 cup)</t>
  </si>
  <si>
    <t>Đậu bắp chiên (237 ml)</t>
  </si>
  <si>
    <t>Sweet Tea (16 oz)</t>
  </si>
  <si>
    <t>Trà ngọt (473 ml)</t>
  </si>
  <si>
    <t>Gyro (1 sandwich)</t>
  </si>
  <si>
    <t>Bánh mì kẹp thịt Gyro (1 chiếc)</t>
  </si>
  <si>
    <t>Pita Bread (White 1 large)</t>
  </si>
  <si>
    <t>Bánh mì Pita (Trắng, 1 chiếc lớn)</t>
  </si>
  <si>
    <t>Nước sốt Tzatziki (30 ml)</t>
  </si>
  <si>
    <t>Baklava (1 piece)</t>
  </si>
  <si>
    <t>Bánh Baklava (1 miếng)</t>
  </si>
  <si>
    <t>Coconut (shredded 1/4 cup)</t>
  </si>
  <si>
    <t>Dừa (nạo, 24 g)</t>
  </si>
  <si>
    <t>S'more (1 serving)</t>
  </si>
  <si>
    <t>Bánh S’more (1 khẩu phần)</t>
  </si>
  <si>
    <t>Graham Cracker (1 large rectangle)</t>
  </si>
  <si>
    <t>Bánh quy Graham (1 miếng lớn)</t>
  </si>
  <si>
    <t>Marshmallow (1 large)</t>
  </si>
  <si>
    <t>Kẹo dẻo xốp (1 cái lớn)</t>
  </si>
  <si>
    <t>Chocolate (Hershey's bar 1 segment)</t>
  </si>
  <si>
    <t>Sô-cô-la (Thanh Hershey's 1 miếng)</t>
  </si>
  <si>
    <t>Chicken Parm Sandwich</t>
  </si>
  <si>
    <t>Bánh mì kẹp gà Parm</t>
  </si>
  <si>
    <t>Mozzarella (1 slice)</t>
  </si>
  <si>
    <t>Phô mai Mozzarella (1 lát, khoảng 28g)</t>
  </si>
  <si>
    <t>Bread Roll (hoagie)</t>
  </si>
  <si>
    <t>Bánh mì cuộn (hoagie)</t>
  </si>
  <si>
    <t>Artichoke (1 medium steamed)</t>
  </si>
  <si>
    <t>Atisô (1 củ cỡ trung bình, hấp, khoảng 130g)</t>
  </si>
  <si>
    <t>Mayonnaise (1 tbsp for dipping)</t>
  </si>
  <si>
    <t>Mayonnaise (15 ml dùng để chấm)</t>
  </si>
  <si>
    <t>Calamari (fried 3oz)</t>
  </si>
  <si>
    <t>Mực chiên giòn (khoảng 85g)</t>
  </si>
  <si>
    <t>Lemon Wedge (for calamari)</t>
  </si>
  <si>
    <t>Múi chanh (dùng kèm mực chiên giòn)</t>
  </si>
  <si>
    <t>Root Beer (1 can)</t>
  </si>
  <si>
    <t>Bia gừng/Sarsaparilla (1 lon)</t>
  </si>
  <si>
    <t>Chicken McNuggets (6 pcs)</t>
  </si>
  <si>
    <t>Gà Viên McNuggets (6 miếng)</t>
  </si>
  <si>
    <t>BBQ Sauce (2 tbsp)</t>
  </si>
  <si>
    <t>Sốt BBQ (30 ml)</t>
  </si>
  <si>
    <t>Honey (1 tbsp)</t>
  </si>
  <si>
    <t>Mật ong (15 ml)</t>
  </si>
  <si>
    <t>Tofu Scramble</t>
  </si>
  <si>
    <t>Turmeric (1 tsp)</t>
  </si>
  <si>
    <t>Nghệ (4,9 ml)</t>
  </si>
  <si>
    <t>Nutritional Yeast (1 tbsp)</t>
  </si>
  <si>
    <t>Nấm men dinh dưỡng (15 ml)</t>
  </si>
  <si>
    <t>Seitan (3oz)</t>
  </si>
  <si>
    <t>Seitan (85 g)</t>
  </si>
  <si>
    <t>Vegetable Broth (1 cup)</t>
  </si>
  <si>
    <t>Nước dùng rau củ (240 mililít)</t>
  </si>
  <si>
    <t>Mashed Cauliflower (1 cup)</t>
  </si>
  <si>
    <t>Súp lơ nghiền (240g)</t>
  </si>
  <si>
    <t>Peanut Sauce (2 tbsp)</t>
  </si>
  <si>
    <t>Nước sốt đậu phộng (30 ml)</t>
  </si>
  <si>
    <t>Tempeh (3oz)</t>
  </si>
  <si>
    <t>Tempeh (85g)</t>
  </si>
  <si>
    <t>Sauerkraut (1/2 cup)</t>
  </si>
  <si>
    <t>Dưa cải muối chua (120 ml)</t>
  </si>
  <si>
    <t>Rye Crispbread (2 slices)</t>
  </si>
  <si>
    <t>Bánh quy giòn lúa mạch đen (2 lát)</t>
  </si>
  <si>
    <t>Capers (1 tbsp)</t>
  </si>
  <si>
    <t>Cây bạch hoa (1 muỗng canh)</t>
  </si>
  <si>
    <t>Chicken Liver (2 oz cooked)</t>
  </si>
  <si>
    <t>Gan gà (57g đã nấu chín)</t>
  </si>
  <si>
    <t>Onion (1/2 cup raw chopped)</t>
  </si>
  <si>
    <t>Hành tây (60 gram thái hạt lựu tươi)</t>
  </si>
  <si>
    <t>Bok Choy (1 cup steamed)</t>
  </si>
  <si>
    <t>Cải thìa (170g hấp)</t>
  </si>
  <si>
    <t>Gummy Bears (10 pcs)</t>
  </si>
  <si>
    <t>Kẹo dẻo Gummy (10 viên)</t>
  </si>
  <si>
    <t>Snack/Dessert</t>
  </si>
  <si>
    <t>Whiskey (1.5 oz shot)</t>
  </si>
  <si>
    <t>Rượu Whiskey (một li 45 ml)</t>
  </si>
  <si>
    <t>Dates (2 medium Medjool)</t>
  </si>
  <si>
    <t>Chà là (2 quả Medjool cỡ trung bình)</t>
  </si>
  <si>
    <t>Tahini (1 tbsp)</t>
  </si>
  <si>
    <t>Bơ hạt mè (15 ml)</t>
  </si>
  <si>
    <t>Chickpeas (1/2 cup canned)</t>
  </si>
  <si>
    <t>Đậu gà (120 gram đóng hộp)</t>
  </si>
  <si>
    <t>Lettuce (Romaine 2 cups)</t>
  </si>
  <si>
    <t>Xà lách Romaine (85g)</t>
  </si>
  <si>
    <t>Italian Dressing (2 tbsp)</t>
  </si>
  <si>
    <t>Sốt trộn kiểu Ý (30 mL)</t>
  </si>
  <si>
    <t>Turkey Sausage (1 patty)</t>
  </si>
  <si>
    <t>Xúc xích Gà tây (1 miếng chả)</t>
  </si>
  <si>
    <t>Maple Syrup (1 tbsp)</t>
  </si>
  <si>
    <t>Xi-rô phong (15 mL)</t>
  </si>
  <si>
    <t>Margarita (1 drink 4oz)</t>
  </si>
  <si>
    <t>Margarita (1 khẩu phần 120 mL)</t>
  </si>
  <si>
    <t>Quesadilla (Cheese 1 medium)</t>
  </si>
  <si>
    <t>Quesadilla (Phô mai, 1 chiếc cỡ vừa)</t>
  </si>
  <si>
    <t>Sour Cream (1 tbsp)</t>
  </si>
  <si>
    <t>Kem chua (15 ml)</t>
  </si>
  <si>
    <t>Salsa (2 tbsp)</t>
  </si>
  <si>
    <t>Sốt Salsa (30 ml)</t>
  </si>
  <si>
    <t>Red Cabbage (1 cup raw)</t>
  </si>
  <si>
    <t>Bắp cải tím (89 gam tươi)</t>
  </si>
  <si>
    <t>Duck (3oz roasted)</t>
  </si>
  <si>
    <t>Thịt vịt (85g rang)</t>
  </si>
  <si>
    <t>Orange Sauce (1/4 cup for duck)</t>
  </si>
  <si>
    <t>Sốt cam (60 ml cho vịt)</t>
  </si>
  <si>
    <t>Wild Rice (1 cup cooked)</t>
  </si>
  <si>
    <t>Hạt lúa mạch đen (240 ml sau khi nấu)</t>
  </si>
  <si>
    <t>Cupcake (Vanilla 1 medium)</t>
  </si>
  <si>
    <t>Bánh Cupcake (Vị Vani, 1 khẩu phần vừa)</t>
  </si>
  <si>
    <t>Frosting (Vanilla 2 tbsp)</t>
  </si>
  <si>
    <t>Kem phủ (Vị vani, 30 ml)</t>
  </si>
  <si>
    <t>Hot Sauce (1 tsp Tabasco)</t>
  </si>
  <si>
    <t>Tương ớt (5 mL Tabasco)</t>
  </si>
  <si>
    <t>Bison Burger (1 patty)</t>
  </si>
  <si>
    <t>Bánh kẹp thịt bò rừng Bison (1 miếng)</t>
  </si>
  <si>
    <t>Pretzel Bun (1 medium)</t>
  </si>
  <si>
    <t>Bánh mì kẹp Pretzel (1 cỡ vừa)</t>
  </si>
  <si>
    <t>Spicy Mustard (1 tbsp)</t>
  </si>
  <si>
    <t>Mù tạt Cay (15 ml)</t>
  </si>
  <si>
    <t>Pasta Salad (1 cup)</t>
  </si>
  <si>
    <t>Salad mì ống (240 ml)</t>
  </si>
  <si>
    <t>Thịt Salami (3 lát)</t>
  </si>
  <si>
    <t>Pepperoncini (2 peppers)</t>
  </si>
  <si>
    <t>Ớt Pepperoncini (2 quả)</t>
  </si>
  <si>
    <t>Coconut Milk (1/4 cup canned)</t>
  </si>
  <si>
    <t>Nước cốt dừa (59 ml đóng hộp)</t>
  </si>
  <si>
    <t>Green Curry Paste (1 tbsp)</t>
  </si>
  <si>
    <t>Sốt Cà ri Xanh (15 g)</t>
  </si>
  <si>
    <t>Chicken Thigh (1 roasted)</t>
  </si>
  <si>
    <t>Đùi Gà (1 cái nướng)</t>
  </si>
  <si>
    <t>Jasmine Rice (1 cup cooked)</t>
  </si>
  <si>
    <t>Cơm Gạo Lài (160 gram đã nấu)</t>
  </si>
  <si>
    <t>Thai Iced Tea (1 glass)</t>
  </si>
  <si>
    <t>Trà đá Thái Lan (1 ly)</t>
  </si>
  <si>
    <t>Papaya (1 cup cubes)</t>
  </si>
  <si>
    <t>Đu đủ (140g khối lập phương)</t>
  </si>
  <si>
    <t>Lime Juice (1 tbsp)</t>
  </si>
  <si>
    <t>Nước cốt chanh (15 ml)</t>
  </si>
  <si>
    <t>Macaroni Salad (1 cup)</t>
  </si>
  <si>
    <t>Gỏi Mì Ống (240 ml)</t>
  </si>
  <si>
    <t>Celery (1 stalk)</t>
  </si>
  <si>
    <t>Cần tây (1 thân)</t>
  </si>
  <si>
    <t>Blue Cheese (1 oz)</t>
  </si>
  <si>
    <t>Phô mai xanh (28,35 g)</t>
  </si>
  <si>
    <t>Dark Chocolate (1 oz 70%)</t>
  </si>
  <si>
    <t>Sô cô la Đen (28g 70%)</t>
  </si>
  <si>
    <t>Acai Bowl (1 serving)</t>
  </si>
  <si>
    <t>Bát Acai (1 khẩu phần)</t>
  </si>
  <si>
    <t>Meal/Fruit</t>
  </si>
  <si>
    <t>Granola (1/4 cup topping)</t>
  </si>
  <si>
    <t>Ngũ cốc Granola (60 mililit lát phủ)</t>
  </si>
  <si>
    <t>Coconut Flakes (1 tbsp topping)</t>
  </si>
  <si>
    <t>Vảy Dừa (7 g dùng để rắc)</t>
  </si>
  <si>
    <t>Honey (1 tsp drizzle)</t>
  </si>
  <si>
    <t>Mật ong (rắc 5 ml)</t>
  </si>
  <si>
    <t>Shrimp Cocktail (4 large shrimp)</t>
  </si>
  <si>
    <t>Cocktail Tôm (4 con tôm lớn)</t>
  </si>
  <si>
    <t>Cocktail Sauce (2 tbsp)</t>
  </si>
  <si>
    <t>Sốt Cocktail (30 ml)</t>
  </si>
  <si>
    <t>Pork Bun (1 steamed)</t>
  </si>
  <si>
    <t>Bánh bao nhân thịt heo (1 cái hấp)</t>
  </si>
  <si>
    <t>Dim Sum (Siu Mai 3 pcs)</t>
  </si>
  <si>
    <t>Dim Sum (Xíu Mại 3 cái)</t>
  </si>
  <si>
    <t>Soy Sauce (1 tbsp for dipping)</t>
  </si>
  <si>
    <t>Nước tương (15 ml dùng để chấm)</t>
  </si>
  <si>
    <t>Oyster (1 medium raw)</t>
  </si>
  <si>
    <t>Hàu (1 con cỡ vừa, tươi sống)</t>
  </si>
  <si>
    <t>Mignonette Sauce (1 tbsp)</t>
  </si>
  <si>
    <t>Sốt Mignonette (1 muỗng canh - khoảng 15 ml)</t>
  </si>
  <si>
    <t>Beef Pho (1 large bowl)</t>
  </si>
  <si>
    <t>Phở Bò (1 tô lớn)</t>
  </si>
  <si>
    <t>Meal/Soup</t>
  </si>
  <si>
    <t>Bean Sprouts (1/4 cup garnish)</t>
  </si>
  <si>
    <t>Mầm đậu nành (28,35g trang trí)</t>
  </si>
  <si>
    <t>Thai Basil (garnish)</t>
  </si>
  <si>
    <t>Húng quế Thái (dùng để trang trí)</t>
  </si>
  <si>
    <t>Lime Wedge (garnish)</t>
  </si>
  <si>
    <t>Múi chanh (trang trí)</t>
  </si>
  <si>
    <t>Jalapeno (1 tbsp sliced)</t>
  </si>
  <si>
    <t>Ớt Jalapeno (15 ml thái lát)</t>
  </si>
  <si>
    <t>Hoisin Sauce (1 tbsp)</t>
  </si>
  <si>
    <t>Sốt Hoisin (15 ml)</t>
  </si>
  <si>
    <t>Sriracha (1 tsp)</t>
  </si>
  <si>
    <t>Tương ớt Sriracha (5 ml)</t>
  </si>
  <si>
    <t>Crepe (1 plain)</t>
  </si>
  <si>
    <t>Bánh Crepe (1 cái không nhân)</t>
  </si>
  <si>
    <t>Nutella (1 tbsp)</t>
  </si>
  <si>
    <t>Nutella (15 ml)</t>
  </si>
  <si>
    <t>Powdered Sugar (1 tsp)</t>
  </si>
  <si>
    <t>Đường bột (4,2 g)</t>
  </si>
  <si>
    <t>Sake (3 oz)</t>
  </si>
  <si>
    <t>Calculations are not supported. Please use the Gemini side panel instead.</t>
  </si>
  <si>
    <t>Edamame (in pod 1 cup)</t>
  </si>
  <si>
    <t>Đậu nành lông (còn vỏ, khoảng 150 gram)</t>
  </si>
  <si>
    <t>Sea Salt (coarse 1/4 tsp)</t>
  </si>
  <si>
    <t>Muối biển thô (1,5 gam)</t>
  </si>
  <si>
    <t>Biryani (Chicken 1.5 cups)</t>
  </si>
  <si>
    <t>Cơm Biryani (Gà 355 ml)</t>
  </si>
  <si>
    <t>Raita (2 tbsp)</t>
  </si>
  <si>
    <t>Raita (30 ml)</t>
  </si>
  <si>
    <t>Lassi (Mango 1 cup)</t>
  </si>
  <si>
    <t>Lassi (Xoài, 240 ml)</t>
  </si>
  <si>
    <t>Samosa (1 piece vegetable)</t>
  </si>
  <si>
    <t>Samosa (1 miếng rau củ)</t>
  </si>
  <si>
    <t>Tamarind Chutney (1 tbsp)</t>
  </si>
  <si>
    <t>Tương ớt me (15 ml)</t>
  </si>
  <si>
    <t>Mint Chutney (1 tbsp)</t>
  </si>
  <si>
    <t>Chutney Bạc hà (15 ml)</t>
  </si>
  <si>
    <t>Pani Puri (6 pcs)</t>
  </si>
  <si>
    <t>Pani Puri (6 cái)</t>
  </si>
  <si>
    <t>Passion Fruit (1 fruit)</t>
  </si>
  <si>
    <t>Chanh dây (1 quả)</t>
  </si>
  <si>
    <t>Kimchi Jjigae (1 bowl)</t>
  </si>
  <si>
    <t>Kimchi Jjigae (1 suất)</t>
  </si>
  <si>
    <t>Silken Tofu (3oz in soup)</t>
  </si>
  <si>
    <t>Đậu phụ lụa (85g trong súp)</t>
  </si>
  <si>
    <t>Pork Belly (1 oz in soup)</t>
  </si>
  <si>
    <t>Thịt Ba Chỉ (28g trong súp)</t>
  </si>
  <si>
    <t>Gochugaru (1 tsp)</t>
  </si>
  <si>
    <t>Bột ớt Hàn Quốc (1 thìa cà phê)</t>
  </si>
  <si>
    <t>Gochujang (1 tbsp)</t>
  </si>
  <si>
    <t>Gochujang (15 ml)</t>
  </si>
  <si>
    <t>Sesame Oil (1 tsp)</t>
  </si>
  <si>
    <t>Dầu Mè (5 ml)</t>
  </si>
  <si>
    <t>Fish Sauce (1 tsp)</t>
  </si>
  <si>
    <t>Nước mắm (5 ml)</t>
  </si>
  <si>
    <t>Sugar (1 tsp in broth)</t>
  </si>
  <si>
    <t>Đường (5 g trong nước dùng)</t>
  </si>
  <si>
    <t>Green Onion (1 tbsp garnish)</t>
  </si>
  <si>
    <t>Hành lá (15 ml dùng để trang trí)</t>
  </si>
  <si>
    <t>Kombucha (16 oz)</t>
  </si>
  <si>
    <t>Kombucha (473 ml)</t>
  </si>
  <si>
    <t>Beef Wellington (1 slice)</t>
  </si>
  <si>
    <t>Bò Wellington (1 lát)</t>
  </si>
  <si>
    <t>Pate (Mushroom 2 tbsp)</t>
  </si>
  <si>
    <t>Pate Nấm (30 ml)</t>
  </si>
  <si>
    <t>Puff Pastry (1 oz wrapper)</t>
  </si>
  <si>
    <t>Bột bánh ngàn lớp (gói 28,35 g)</t>
  </si>
  <si>
    <t>Prosciutto (1 slice)</t>
  </si>
  <si>
    <t>Thịt nguội Prosciutto (1 lát)</t>
  </si>
  <si>
    <t>Asparagus (6 spears roasted)</t>
  </si>
  <si>
    <t>Măng tây (6 cọng nướng)</t>
  </si>
  <si>
    <t>Hollandaise Sauce (1 tbsp)</t>
  </si>
  <si>
    <t>Sốt Hollandaise (15 mL)</t>
  </si>
  <si>
    <t>Flan (1 slice)</t>
  </si>
  <si>
    <t>Bánh Flan (1 phần ăn)</t>
  </si>
  <si>
    <t>Caramel Sauce (1 tbsp)</t>
  </si>
  <si>
    <t>Xốt Caramel (15 ml)</t>
  </si>
  <si>
    <t>Congee (1 cup plain)</t>
  </si>
  <si>
    <t>Cháo (240 ml nguyên chất)</t>
  </si>
  <si>
    <t>Pickled Radish (1/4 cup)</t>
  </si>
  <si>
    <t>Củ cải muối (60 g)</t>
  </si>
  <si>
    <t>Pork Floss (1 tbsp)</t>
  </si>
  <si>
    <t>Chà bông heo (15 ml)</t>
  </si>
  <si>
    <t>Century Egg (1 egg)</t>
  </si>
  <si>
    <t>Trứng bách thảo (1 quả trứng)</t>
  </si>
  <si>
    <t>Arugula (2 cups)</t>
  </si>
  <si>
    <t>Rau Arugula (40 gam)</t>
  </si>
  <si>
    <t>Goat Cheese (1 oz)</t>
  </si>
  <si>
    <t>Phô mai Dê (28,35 g)</t>
  </si>
  <si>
    <t>Beets (1/2 cup roasted)</t>
  </si>
  <si>
    <t>Củ dền (100 gram nướng)</t>
  </si>
  <si>
    <t>Walnuts (1 tbsp chopped)</t>
  </si>
  <si>
    <t>Quả óc chó (8 gram băm nhỏ)</t>
  </si>
  <si>
    <t>Balsamic Glaze (1 tbsp)</t>
  </si>
  <si>
    <t>Lớp tráng men Balsamic (1 muỗng canh)</t>
  </si>
  <si>
    <t>Bobotie (1 serving)</t>
  </si>
  <si>
    <t>Bobotie (1 khẩu phần)</t>
  </si>
  <si>
    <t>Yellow Rice (1 cup)</t>
  </si>
  <si>
    <t>Cơm vàng (163g)</t>
  </si>
  <si>
    <t>Chutney (Mango 1 tbsp)</t>
  </si>
  <si>
    <t>Tương ớt xoài (15 ml)</t>
  </si>
  <si>
    <t>Malva Pudding (1 slice)</t>
  </si>
  <si>
    <t>Bánh Malva Pudding (1 lát cắt)</t>
  </si>
  <si>
    <t>Custard (1/4 cup)</t>
  </si>
  <si>
    <t>Bánh trứng sữa (khoảng 59 ml)</t>
  </si>
  <si>
    <t>Bubble Tea (16 oz milk tea)</t>
  </si>
  <si>
    <t>Trà Sữa (473 ml trà sữa)</t>
  </si>
  <si>
    <t>Tapioca Pearls (1/4 cup boba)</t>
  </si>
  <si>
    <t>Hạt trân châu (59 ml trân châu)</t>
  </si>
  <si>
    <t>Paella (1.5 cups seafood)</t>
  </si>
  <si>
    <t>Paella (213 g hải sản)</t>
  </si>
  <si>
    <t>Meal/Rice</t>
  </si>
  <si>
    <t>Chorizo (1 oz in paella)</t>
  </si>
  <si>
    <t>Chorizo (28 g trong món cơm thập cẩm Paella)</t>
  </si>
  <si>
    <t>Saffron (pinch)</t>
  </si>
  <si>
    <t>Nghệ tây (nhúm)</t>
  </si>
  <si>
    <t>Aioli (Garlic 1 tbsp)</t>
  </si>
  <si>
    <t>Aioli (Tương tỏi 1 thìa canh)</t>
  </si>
  <si>
    <t>Gazpacho (1 cup)</t>
  </si>
  <si>
    <t>Gazpacho (khoảng 240 mL)</t>
  </si>
  <si>
    <t>Croutons (Garlic 1/4 cup)</t>
  </si>
  <si>
    <t>Bánh mì sấy giòn (Tỏi, 60 mililít)</t>
  </si>
  <si>
    <t>Olive Oil (1 tsp garnish)</t>
  </si>
  <si>
    <t>Dầu ô liu (5 ml dùng để trang trí)</t>
  </si>
  <si>
    <t>Churros (2 sticks)</t>
  </si>
  <si>
    <t>Bánh Churros (2 que)</t>
  </si>
  <si>
    <t>Chocolate Sauce (1 tbsp dipping)</t>
  </si>
  <si>
    <t>Sốt sô-cô-la (15 ml dùng để chấm)</t>
  </si>
  <si>
    <t>Cinnamon Sugar (1 tsp)</t>
  </si>
  <si>
    <t>Đường Quế (5 ml)</t>
  </si>
  <si>
    <t>Horchata (1 cup)</t>
  </si>
  <si>
    <t>Nước uống Horchata (240 mL)</t>
  </si>
  <si>
    <t>Ceviche (1 cup fish)</t>
  </si>
  <si>
    <t>Ceviche (236.59 gam cá)</t>
  </si>
  <si>
    <t>Red Onion (1/4 cup in ceviche)</t>
  </si>
  <si>
    <t>Hành tây đỏ (khoảng 60 ml trong món gỏi cá sống)</t>
  </si>
  <si>
    <t>Cilantro (2 tbsp garnish)</t>
  </si>
  <si>
    <t>Ngò rí (30 ml trang trí)</t>
  </si>
  <si>
    <t>Corn Nuts (1 oz)</t>
  </si>
  <si>
    <t>Hạt bắp rang (28 g)</t>
  </si>
  <si>
    <t>Lomo Saltado (1.5 cups)</t>
  </si>
  <si>
    <t>Lomo Saltado (Khẩu phần 355 ml)</t>
  </si>
  <si>
    <t>French Fries (as side)</t>
  </si>
  <si>
    <t>Khoai tây chiên (phần ăn kèm)</t>
  </si>
  <si>
    <t>Soy Sauce (1 tbsp in stir-fry)</t>
  </si>
  <si>
    <t>Nước tương (15 ml trong món xào)</t>
  </si>
  <si>
    <t>Aji Amarillo Paste (1 tsp)</t>
  </si>
  <si>
    <t>Tương ớt Aji Amarillo (khoảng 5 ml)</t>
  </si>
  <si>
    <t>Pisco Sour (1 drink)</t>
  </si>
  <si>
    <t>Pisco Sour (1 đơn vị uống)</t>
  </si>
  <si>
    <t>Egg White (in drink)</t>
  </si>
  <si>
    <t>Lòng trắng trứng (trong thức uống)</t>
  </si>
  <si>
    <t>Angostura Bitters (dash)</t>
  </si>
  <si>
    <t>Rượu đắng Angostura (1 mL)</t>
  </si>
  <si>
    <t>Alfajores (1 cookie)</t>
  </si>
  <si>
    <t>Bánh quy Alfajores (1 cái)</t>
  </si>
  <si>
    <t>Dulce de Leche (1 tbsp filling)</t>
  </si>
  <si>
    <t>Sốt caramen sữa đặc (15 g nhân)</t>
  </si>
  <si>
    <t>Coconut (shredded garnish)</t>
  </si>
  <si>
    <t>Dừa nạo (dùng để trang trí)</t>
  </si>
  <si>
    <t>Mate (1 cup)</t>
  </si>
  <si>
    <t>Trà Mate (240 ml)</t>
  </si>
  <si>
    <t>Media Luna (1 pastry)</t>
  </si>
  <si>
    <t>Bánh Sừng Bò Nhân Đường (1 chiếc)</t>
  </si>
  <si>
    <t>Chimichurri (1 tbsp)</t>
  </si>
  <si>
    <t>Xốt Chimichurri (15 ml)</t>
  </si>
  <si>
    <t>Skirt Steak (4oz grilled)</t>
  </si>
  <si>
    <t>Thịt bít tết sườn (113,4g nướng)</t>
  </si>
  <si>
    <t>Provoleta (1 oz grilled cheese)</t>
  </si>
  <si>
    <t>Provoleta (30 g phô mai nướng)</t>
  </si>
  <si>
    <t>Oregano (1 tsp)</t>
  </si>
  <si>
    <t>Kinh giới cay (5 ml)</t>
  </si>
  <si>
    <t>Empanada (Beef 1 medium)</t>
  </si>
  <si>
    <t>Bánh Empanada nhân thịt bò (1 cái cỡ trung bình)</t>
  </si>
  <si>
    <t>Chicken Milanesa (1 serving)</t>
  </si>
  <si>
    <t>Thịt gà Milanese (1 khẩu phần)</t>
  </si>
  <si>
    <t>Mashed Potatoes (side)</t>
  </si>
  <si>
    <t>Khoai tây nghiền (món ăn kèm)</t>
  </si>
  <si>
    <t>Choripan (1 sandwich)</t>
  </si>
  <si>
    <t>Choripan (1 bánh mì kẹp)</t>
  </si>
  <si>
    <t>Baguette (slice)</t>
  </si>
  <si>
    <t>Bánh mì (lát)</t>
  </si>
  <si>
    <t>Chimichurri (15 ml)</t>
  </si>
  <si>
    <t>Pizza (Margherita 1 slice)</t>
  </si>
  <si>
    <t>Bánh Pizza (Margherita 1 lát)</t>
  </si>
  <si>
    <t>Fresh Mozzarella (1 oz)</t>
  </si>
  <si>
    <t>Phô mai Mozzarella tươi (khoảng 28,35 g)</t>
  </si>
  <si>
    <t>Basil (2 tbsp fresh)</t>
  </si>
  <si>
    <t>Húng quế (30 ml tươi)</t>
  </si>
  <si>
    <t>Carbonara (1.5 cups)</t>
  </si>
  <si>
    <t>Mì Ý Carbonara (354,882 ml)</t>
  </si>
  <si>
    <t>Guanciale (1 oz)</t>
  </si>
  <si>
    <t>Má Heo Muối Sấy (Guanciale) (28,35 g)</t>
  </si>
  <si>
    <t>Pecorino Cheese (1 tbsp)</t>
  </si>
  <si>
    <t>Phô mai Pecorino (khoảng 15 ml)</t>
  </si>
  <si>
    <t>Black Pepper (1/4 tsp)</t>
  </si>
  <si>
    <t>Hạt tiêu đen (khoảng 0.6g)</t>
  </si>
  <si>
    <t>Egg Yolk (1 large in sauce)</t>
  </si>
  <si>
    <t>Lòng đỏ trứng (1 quả lớn trong nước sốt)</t>
  </si>
  <si>
    <t>Supplì (1 piece fried rice ball)</t>
  </si>
  <si>
    <t>Supplì (1 viên cơm chiên)</t>
  </si>
  <si>
    <t>Aperol Spritz (1 drink)</t>
  </si>
  <si>
    <t>Aperol Spritz (1 ly)</t>
  </si>
  <si>
    <t>Prosecco (3 oz)</t>
  </si>
  <si>
    <t>Prosecco (khoảng 89 mL)</t>
  </si>
  <si>
    <t>Club Soda (2 oz)</t>
  </si>
  <si>
    <t>Soda (59 ml)</t>
  </si>
  <si>
    <t>Orange Slice (garnish)</t>
  </si>
  <si>
    <t>Lát cam (trang trí món ăn)</t>
  </si>
  <si>
    <t>Tagliatelle al Ragù (Bolognese)</t>
  </si>
  <si>
    <t>Tagliatelle al Ragù (Sốt Bolognese)</t>
  </si>
  <si>
    <t>Ground Beef (2 oz in sauce)</t>
  </si>
  <si>
    <t>Thịt Bò Xay (56.7 g trong sốt)</t>
  </si>
  <si>
    <t>Pancetta (0.5 oz in sauce)</t>
  </si>
  <si>
    <t>Thịt ba chỉ muối cuộn Pancetta (14,17 g trong nước sốt)</t>
  </si>
  <si>
    <t>Carrot (1/4 minced in sauce)</t>
  </si>
  <si>
    <t>Cà rốt (1/4 băm nhỏ trong nước sốt)</t>
  </si>
  <si>
    <t>Celery (1/4 stalk minced)</t>
  </si>
  <si>
    <t>Cần tây (một phần tư cọng thái nhỏ)</t>
  </si>
  <si>
    <t>Onion (1/8 minced in sauce)</t>
  </si>
  <si>
    <t>Hành tây (một phần tám củ băm nhỏ trong nước sốt)</t>
  </si>
  <si>
    <t>Crushed Tomatoes (1/2 cup sauce)</t>
  </si>
  <si>
    <t>Cà chua nghiền (120 mL sốt)</t>
  </si>
  <si>
    <t>Parmigiano-Reggiano (1 tbsp)</t>
  </si>
  <si>
    <t>Phô mai Parmigiano-Reggiano (15 mL)</t>
  </si>
  <si>
    <t>Cannoli (1 medium)</t>
  </si>
  <si>
    <t>Bánh Cannoli (1 chiếc cỡ vừa)</t>
  </si>
  <si>
    <t>Ricotta (filling 1 oz)</t>
  </si>
  <si>
    <t>Ricotta (nhân 28.35 g)</t>
  </si>
  <si>
    <t>Pistachio (garnish)</t>
  </si>
  <si>
    <t>Hạt hồ trăn (trang trí)</t>
  </si>
  <si>
    <t>Biscotti (1 cookie)</t>
  </si>
  <si>
    <t>Bánh Biscotti (1 đơn vị bánh quy)</t>
  </si>
  <si>
    <t>Espresso (for dipping)</t>
  </si>
  <si>
    <t>Cà phê espresso (dùng để chấm)</t>
  </si>
  <si>
    <t>Focaccia (1 square)</t>
  </si>
  <si>
    <t>Focaccia (1 miếng vuông)</t>
  </si>
  <si>
    <t>Rosemary (1 tsp topping)</t>
  </si>
  <si>
    <t>Hương thảo (1g rắc/trang trí)</t>
  </si>
  <si>
    <t>Coarse Salt (garnish)</t>
  </si>
  <si>
    <t>Muối hạt (dùng để trang trí)</t>
  </si>
  <si>
    <t>Olive Oil (1 tbsp drizzle)</t>
  </si>
  <si>
    <t>Dầu Ô liu (15 ml rưới nhẹ)</t>
  </si>
  <si>
    <t>Bruschetta (2 pcs)</t>
  </si>
  <si>
    <t>Bruschetta (2 miếng)</t>
  </si>
  <si>
    <t>Snack/Appetizer</t>
  </si>
  <si>
    <t>Balsamic Glaze (1 tsp)</t>
  </si>
  <si>
    <t>Sốt giấm Balsamic (5 ml)</t>
  </si>
  <si>
    <t>Ribollita (1.5 cups soup)</t>
  </si>
  <si>
    <t>Ribollita (Khẩu phần 355 mililit súp)</t>
  </si>
  <si>
    <t>Cannellini Beans (1/2 cup in soup)</t>
  </si>
  <si>
    <t>Đậu Cannellini (130 gram trong súp)</t>
  </si>
  <si>
    <t>Kale (1 cup in soup)</t>
  </si>
  <si>
    <t>Cải xoăn (240g trong súp)</t>
  </si>
  <si>
    <t>Stale Bread (1/2 cup in soup)</t>
  </si>
  <si>
    <t>Bánh mì cũ (60 gram trong súp)</t>
  </si>
  <si>
    <t>Polenta (1 cup creamy)</t>
  </si>
  <si>
    <t>Polenta (250g dạng kem)</t>
  </si>
  <si>
    <t>Gorgonzola Cheese (1 oz)</t>
  </si>
  <si>
    <t>Phô mai Gorgonzola (28g)</t>
  </si>
  <si>
    <t>Negroni (1 drink)</t>
  </si>
  <si>
    <t>Negroni (1 khẩu phần)</t>
  </si>
  <si>
    <t>Gin (1 oz)</t>
  </si>
  <si>
    <t>Rượu Gin (30 ml)</t>
  </si>
  <si>
    <t>Campari (1 oz)</t>
  </si>
  <si>
    <t>Campari (29.57 ml)</t>
  </si>
  <si>
    <t>Sweet Vermouth (1 oz)</t>
  </si>
  <si>
    <t>Rượu Vermouth Ngọt (30 ml)</t>
  </si>
  <si>
    <t>Orange Peel (garnish)</t>
  </si>
  <si>
    <t>Vỏ cam (trang trí thực phẩm)</t>
  </si>
  <si>
    <t>Osso Buco (1 serving)</t>
  </si>
  <si>
    <t>Osso Buco (1 khẩu phần)</t>
  </si>
  <si>
    <t>Gremolata (1 tbsp)</t>
  </si>
  <si>
    <t>Gremolata (15 ml)</t>
  </si>
  <si>
    <t>Risotto alla Milanese (1 cup)</t>
  </si>
  <si>
    <t>Risotto alla Milanese (khoảng 240ml)</t>
  </si>
  <si>
    <t>Saffron (pinch in risotto)</t>
  </si>
  <si>
    <t>Nghệ tây (một nhúm trong món cơm Ý risotto)</t>
  </si>
  <si>
    <t>Panettone (1 slice)</t>
  </si>
  <si>
    <t>Bánh Panettone (1 lát)</t>
  </si>
  <si>
    <t>Candied Fruit (1 tbsp)</t>
  </si>
  <si>
    <t>Trái cây Sấy dẻo/Kẹo trái cây (15 ml)</t>
  </si>
  <si>
    <t>Amaretti Cookie (2 cookies)</t>
  </si>
  <si>
    <t>Bánh quy Amaretti (2 cái)</t>
  </si>
  <si>
    <t>Limoncello (1.5 oz shot)</t>
  </si>
  <si>
    <t>Rượu Limoncello (cốc nhỏ 45 ml)</t>
  </si>
  <si>
    <t>Panna Cotta (1 serving)</t>
  </si>
  <si>
    <t>Panna Cotta (1 khẩu phần)</t>
  </si>
  <si>
    <t>Berry Coulis (1 tbsp)</t>
  </si>
  <si>
    <t>Sốt coulis trái cây (15 ml)</t>
  </si>
  <si>
    <t>Saltimbocca (1 serving)</t>
  </si>
  <si>
    <t>Saltimbocca (1 khẩu phần)</t>
  </si>
  <si>
    <t>Prosciutto (1 slice wrapper)</t>
  </si>
  <si>
    <t>Thịt đùi lợn muối Prosciutto (1 lát đóng gói)</t>
  </si>
  <si>
    <t>Sage (2 leaves)</t>
  </si>
  <si>
    <t>Lá Xô thơm (2 lá)</t>
  </si>
  <si>
    <t>Polenta (grilled 1 slice)</t>
  </si>
  <si>
    <t>Bột bắp (nướng, 1 lát)</t>
  </si>
  <si>
    <t>Caponata (1/2 cup)</t>
  </si>
  <si>
    <t>Caponata (120 ml)</t>
  </si>
  <si>
    <t>Eggplant (1/2 cup in caponata)</t>
  </si>
  <si>
    <t>Cà tím (120 ml trong món caponata)</t>
  </si>
  <si>
    <t>Pine Nuts (1/2 tbsp)</t>
  </si>
  <si>
    <t>Hạt thông (7.4 ml)</t>
  </si>
  <si>
    <t>Raisins (1 tbsp)</t>
  </si>
  <si>
    <t>Nho khô (khoảng 15g)</t>
  </si>
  <si>
    <t>Gelato (Pistachio 1/2 cup)</t>
  </si>
  <si>
    <t>Gelato (Hồ trăn 120 ml)</t>
  </si>
  <si>
    <t>Waffle Cone (1 small)</t>
  </si>
  <si>
    <t>Ốc quế Bánh Kẹp (1 chiếc nhỏ)</t>
  </si>
  <si>
    <t>Cacio e Pepe (1.5 cups)</t>
  </si>
  <si>
    <t>Món mỳ Cacio e Pepe (355 ml)</t>
  </si>
  <si>
    <t>Pecorino Romano (1/4 cup)</t>
  </si>
  <si>
    <t>Phô mai Pecorino Romano (khoảng 60 ml)</t>
  </si>
  <si>
    <t>Black Pepper (1/2 tsp)</t>
  </si>
  <si>
    <t>Tiêu đen (khoảng 1,15 g)</t>
  </si>
  <si>
    <t>Fiorentina Steak (3oz portion)</t>
  </si>
  <si>
    <t>Bít tết Fiorentina (khẩu phần 85g)</t>
  </si>
  <si>
    <t>Dầu Ô-liu (rưới nhẹ 15 ml)</t>
  </si>
  <si>
    <t>Rosemary (garnish)</t>
  </si>
  <si>
    <t>Hương thảo (trang trí)</t>
  </si>
  <si>
    <t>White Beans (Tuscan style 1/2 cup)</t>
  </si>
  <si>
    <t>Đậu trắng (kiểu Tuscan, 120 ml)</t>
  </si>
  <si>
    <t>Garlic (1 clove in beans)</t>
  </si>
  <si>
    <t>Tỏi (1 tép trong đậu)</t>
  </si>
  <si>
    <t>Sage (in beans)</t>
  </si>
  <si>
    <t>Cây xô thơm (trong các loại đậu)</t>
  </si>
  <si>
    <t>Arancini (1 large ball)</t>
  </si>
  <si>
    <t>Arancini (1 viên lớn)</t>
  </si>
  <si>
    <t>Ragù (filling 1 tbsp)</t>
  </si>
  <si>
    <t>Sốt Ragù (nhân, 15 gam)</t>
  </si>
  <si>
    <t>Mozzarella (filling 0.5 oz)</t>
  </si>
  <si>
    <t>Mozzarella (nhân 14.17 gram)</t>
  </si>
  <si>
    <t>Breadcrumbs (coating)</t>
  </si>
  <si>
    <t>Bột chiên xù (lớp phủ)</t>
  </si>
  <si>
    <t>Campari &amp; Soda (1 drink)</t>
  </si>
  <si>
    <t>Campari và Soda (1 khẩu phần đồ uống)</t>
  </si>
  <si>
    <t>Olive (garnish)</t>
  </si>
  <si>
    <t>Quả ô liu (phụ gia trang trí)</t>
  </si>
  <si>
    <t>Vitello Tonnato (1 serving)</t>
  </si>
  <si>
    <t>Thịt bê sốt cá ngừ (1 khẩu phần)</t>
  </si>
  <si>
    <t>Tuna Sauce (2 tbsp)</t>
  </si>
  <si>
    <t>Sốt Cá Ngừ (30 ml)</t>
  </si>
  <si>
    <t>Capers (garnish)</t>
  </si>
  <si>
    <t>Cây bạch hoa (gia vị trang trí)</t>
  </si>
  <si>
    <t>Lemon Slice (garnish)</t>
  </si>
  <si>
    <t>Lát chanh (trang trí)</t>
  </si>
  <si>
    <t>Gnocchi alla Sorrentina (1.5 cups)</t>
  </si>
  <si>
    <t>Gnocchi alla Sorrentina (355 ml)</t>
  </si>
  <si>
    <t>Tomato Sauce (1/2 cup)</t>
  </si>
  <si>
    <t>Sốt cà chua (120 ml)</t>
  </si>
  <si>
    <t>Mozzarella (1 oz melted)</t>
  </si>
  <si>
    <t>Phô mai Mozzarella (28,35 g đã làm tan chảy)</t>
  </si>
  <si>
    <t>Basil (fresh garnish)</t>
  </si>
  <si>
    <t>Húng quế (rau thơm tươi trang trí)</t>
  </si>
  <si>
    <t>Pesto (1/4 cup)</t>
  </si>
  <si>
    <t>Pesto (60 ml)</t>
  </si>
  <si>
    <t>Pine Nuts (1 tbsp in pesto)</t>
  </si>
  <si>
    <t>Hạt thông (15 ml trong xốt Pesto)</t>
  </si>
  <si>
    <t>Garlic (1/2 clove in pesto)</t>
  </si>
  <si>
    <t>Tỏi (1/2 tép trong sốt pesto)</t>
  </si>
  <si>
    <t>Trofie Pasta (1 cup cooked)</t>
  </si>
  <si>
    <t>Mì ống Trofie (khoảng 140 gram nấu chín)</t>
  </si>
  <si>
    <t>Green Beans (1/2 cup w/ pasta)</t>
  </si>
  <si>
    <t>Đậu que (120 gram với mì ống)</t>
  </si>
  <si>
    <t>Potato (1/2 w/ pasta)</t>
  </si>
  <si>
    <t>Khoai tây (1/2 khẩu phần dùng kèm pasta)</t>
  </si>
  <si>
    <t>Espresso Martini (1 drink)</t>
  </si>
  <si>
    <t>Espresso Martini (1 phần uống)</t>
  </si>
  <si>
    <t>Vodka (1.5 oz)</t>
  </si>
  <si>
    <t>Vodka (khoảng 44,4 ml)</t>
  </si>
  <si>
    <t>Coffee Liqueur (1 oz)</t>
  </si>
  <si>
    <t>Rượu mùi Cà phê (khoảng 30 ml)</t>
  </si>
  <si>
    <t>Espresso (1 oz in drink)</t>
  </si>
  <si>
    <t>Espresso (30 ml trong đồ uống)</t>
  </si>
  <si>
    <t>Simple Syrup (1/2 oz)</t>
  </si>
  <si>
    <t>Siro đơn (15 ml)</t>
  </si>
  <si>
    <t>Coffee Beans (3 garnish)</t>
  </si>
  <si>
    <t>Hạt cà phê (3 trang trí)</t>
  </si>
  <si>
    <t>Baba Ganoush (1/4 cup)</t>
  </si>
  <si>
    <t>Baba Ganoush (khoảng 60 ml)</t>
  </si>
  <si>
    <t>Pita Bread (1 white)</t>
  </si>
  <si>
    <t>Bánh mì Pita (1 chiếc màu trắng)</t>
  </si>
  <si>
    <t>Falafel (3 pieces)</t>
  </si>
  <si>
    <t>Falafel (3 viên)</t>
  </si>
  <si>
    <t>Tahini Sauce (1 tbsp)</t>
  </si>
  <si>
    <t>Sốt Tahini (1 tbsp)</t>
  </si>
  <si>
    <t>Pickled Turnips (2 tbsp)</t>
  </si>
  <si>
    <t>Củ cải muối chua (30 mL)</t>
  </si>
  <si>
    <t>Shawarma (Chicken 1 wrap)</t>
  </si>
  <si>
    <t>Shawarma (Gà, 1 cuộn)</t>
  </si>
  <si>
    <t>Garlic Sauce (1 tbsp)</t>
  </si>
  <si>
    <t>Sốt Tỏi (15 ml)</t>
  </si>
  <si>
    <t>Hummus (1/4 cup)</t>
  </si>
  <si>
    <t>Hummus (60 ml)</t>
  </si>
  <si>
    <t>Tabouli (1/2 cup)</t>
  </si>
  <si>
    <t>Tabouli (120g)</t>
  </si>
  <si>
    <t>Bulgur (1/4 cup in tabouli)</t>
  </si>
  <si>
    <t>Lúa mì bulgur (60 ml trong món salad tabouli)</t>
  </si>
  <si>
    <t>Parsley (1/4 cup in tabouli)</t>
  </si>
  <si>
    <t>Rau mùi tây (khoảng 12,7g trong món tabouli)</t>
  </si>
  <si>
    <t>Mint (1 tbsp in tabouli)</t>
  </si>
  <si>
    <t>Bạc hà (15 ml trong tabouli)</t>
  </si>
  <si>
    <t>Lemon Juice (1 tbsp dressing)</t>
  </si>
  <si>
    <t>Nước cốt chanh (15 ml nước sốt)</t>
  </si>
  <si>
    <t>Olive Oil (1 tbsp dressing)</t>
  </si>
  <si>
    <t>Dầu ô liu (1 muỗng canh khẩu phần nước xốt)</t>
  </si>
  <si>
    <t>Kibbeh (1 piece fried)</t>
  </si>
  <si>
    <t>Kibbeh (1 miếng chiên)</t>
  </si>
  <si>
    <t>Pine Nuts (1/2 tbsp filling)</t>
  </si>
  <si>
    <t>Hạt thông (7.5 ml phần nhân)</t>
  </si>
  <si>
    <t>Ground Lamb (1 oz filling)</t>
  </si>
  <si>
    <t>Thịt cừu xay (phần nhân 28,35 g)</t>
  </si>
  <si>
    <t>Bulgur (1 tbsp shell)</t>
  </si>
  <si>
    <t>Hạt Bulgur (1 muỗng canh vỏ)</t>
  </si>
  <si>
    <t>Lentil Soup (1 cup Middle Eastern)</t>
  </si>
  <si>
    <t>Súp Đậu Lăng (240 ml, Trung Đông)</t>
  </si>
  <si>
    <t>Cumin (1 tsp)</t>
  </si>
  <si>
    <t>Cumin (5 ml)</t>
  </si>
  <si>
    <t>Coriander (1 tsp)</t>
  </si>
  <si>
    <t>Ngò rí (1 muỗng cà phê)</t>
  </si>
  <si>
    <t>Lemon Juice (1 tsp in soup)</t>
  </si>
  <si>
    <t>Nước cốt chanh (1 muỗng cà phê trong súp)</t>
  </si>
  <si>
    <t>Pita Crisps (1 oz)</t>
  </si>
  <si>
    <t>Bánh mì dẹt Pita nướng giòn (28 g)</t>
  </si>
  <si>
    <t>Manakeesh (Za'atar 1 small)</t>
  </si>
  <si>
    <t>Bánh mì dẹt Manakeesh (Za'atar 1 cái nhỏ)</t>
  </si>
  <si>
    <t>Za'atar (1 tbsp)</t>
  </si>
  <si>
    <t>Za'atar (15 ml)</t>
  </si>
  <si>
    <t>Olive Oil (1 tbsp on bread)</t>
  </si>
  <si>
    <t>Dầu ô liu (14 gam trên bánh mì)</t>
  </si>
  <si>
    <t>Labneh (2 tbsp)</t>
  </si>
  <si>
    <t>Labneh (30 ml)</t>
  </si>
  <si>
    <t>Cucumber (1/4 cup side)</t>
  </si>
  <si>
    <t>Dưa chuột (khẩu phần 60 ml)</t>
  </si>
  <si>
    <t>Tomato (1/4 cup side)</t>
  </si>
  <si>
    <t>Cà chua (phần ăn kèm 60 ml)</t>
  </si>
  <si>
    <t>Olives (5 side)</t>
  </si>
  <si>
    <t>Ô liu (5 quả/khẩu phần)</t>
  </si>
  <si>
    <t>Mint Tea (1 cup)</t>
  </si>
  <si>
    <t>Trà Bạc Hà (240 ml)</t>
  </si>
  <si>
    <t>Stuffed Grape Leaves (3 pcs)</t>
  </si>
  <si>
    <t>Lá nho nhồi (3 cái)</t>
  </si>
  <si>
    <t>Rice (1/4 cup filling)</t>
  </si>
  <si>
    <t>Cơm (45g khẩu phần)</t>
  </si>
  <si>
    <t>Turkish Coffee (1 small cup)</t>
  </si>
  <si>
    <t>Cà phê Thổ Nhĩ Kỳ (1 ly nhỏ)</t>
  </si>
  <si>
    <t>Cardamom (in coffee)</t>
  </si>
  <si>
    <t>Bạch đậu khấu (trong cà phê)</t>
  </si>
  <si>
    <t>Shish Tawook (2 skewers)</t>
  </si>
  <si>
    <t>Shish Tawook (2 xiên)</t>
  </si>
  <si>
    <t>Garlic Sauce (Toum 1 tbsp)</t>
  </si>
  <si>
    <t>Nước Sốt Tỏi (Toum 1 muỗng canh)</t>
  </si>
  <si>
    <t>French Fries (side)</t>
  </si>
  <si>
    <t>Khoai tây chiên (món ăn kèm)</t>
  </si>
  <si>
    <t>Pickled Cucumber (1/4 cup)</t>
  </si>
  <si>
    <t>Dưa chuột muối chua (59 ml)</t>
  </si>
  <si>
    <t>Fattoush Salad (1.5 cups)</t>
  </si>
  <si>
    <t>Salad Fattoush (300 gam)</t>
  </si>
  <si>
    <t>Fried Pita (1/2 pita in salad)</t>
  </si>
  <si>
    <t>Bánh Pita chiên (1/2 chiếc bánh pita trong món salad)</t>
  </si>
  <si>
    <t>Sumac (1/2 tsp dressing)</t>
  </si>
  <si>
    <t>Bột Sumac (2.5 ml sốt)</t>
  </si>
  <si>
    <t>Pomegranate Molasses (1 tsp)</t>
  </si>
  <si>
    <t>Mật lựu (1 tsp)</t>
  </si>
  <si>
    <t>Category (EN)</t>
  </si>
  <si>
    <t>Category (VI)</t>
  </si>
  <si>
    <t>Chất đạm/Sữa</t>
  </si>
  <si>
    <t>Ngũ cốc</t>
  </si>
  <si>
    <t>Đồ uống</t>
  </si>
  <si>
    <t>Trái cây</t>
  </si>
  <si>
    <t>Bữa ăn/Chất đạm</t>
  </si>
  <si>
    <t>Chất đạm/Cá</t>
  </si>
  <si>
    <t>Rau củ</t>
  </si>
  <si>
    <t>Sản phẩm từ sữa</t>
  </si>
  <si>
    <t>Hạt</t>
  </si>
  <si>
    <t>Bữa ăn/Chế biến</t>
  </si>
  <si>
    <t>Bữa ăn/Mì ống</t>
  </si>
  <si>
    <t>Thực phẩm bổ sung</t>
  </si>
  <si>
    <t>Ngũ cốc/Chế biến</t>
  </si>
  <si>
    <t>Bữa ăn/Đậu</t>
  </si>
  <si>
    <t>Bữa ăn/Chay</t>
  </si>
  <si>
    <t>Bữa ăn/Cá</t>
  </si>
  <si>
    <t>Chất đạm/Thịt</t>
  </si>
  <si>
    <t>Sữa/Tráng miệng</t>
  </si>
  <si>
    <t>Chất đạm</t>
  </si>
  <si>
    <t>Rau củ/Chế biến</t>
  </si>
  <si>
    <t>Thực phẩm bổ sung/Chế biến</t>
  </si>
  <si>
    <t>Đậu</t>
  </si>
  <si>
    <t>Tráng miệng</t>
  </si>
  <si>
    <t>Gia vị</t>
  </si>
  <si>
    <t>Đồ uống/Bữa ăn</t>
  </si>
  <si>
    <t>Chất đạm/Chay</t>
  </si>
  <si>
    <t>Bữa ăn/Rau củ</t>
  </si>
  <si>
    <t>Bữa ăn/Thịt</t>
  </si>
  <si>
    <t>Rau củ/Gia vị</t>
  </si>
  <si>
    <t>Bữa ăn/Hải sản</t>
  </si>
  <si>
    <t>Đồ uống/Sữa</t>
  </si>
  <si>
    <t>Ngũ cốc/Tráng miệng</t>
  </si>
  <si>
    <t>Đồ ăn nhẹ/Chế biến</t>
  </si>
  <si>
    <t>Gia vị/Sữa</t>
  </si>
  <si>
    <t>Chất đạm/Hải sản</t>
  </si>
  <si>
    <t>Bữa ăn/Ngũ cốc</t>
  </si>
  <si>
    <t>Bữa ăn</t>
  </si>
  <si>
    <t>Đồ uống/Sữa thay thế</t>
  </si>
  <si>
    <t>Chất đạm/Chế biến</t>
  </si>
  <si>
    <t>Đồ ăn nhẹ</t>
  </si>
  <si>
    <t>Gia vị/Chế biến</t>
  </si>
  <si>
    <t>Đồ ăn nhẹ/Tráng miệng</t>
  </si>
  <si>
    <t>Bữa ăn/Trái cây</t>
  </si>
  <si>
    <t>Bữa ăn/Súp</t>
  </si>
  <si>
    <t>Bữa ăn/Cơm</t>
  </si>
  <si>
    <t>Đồ ăn nhẹ/Khai vị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</si>
</sst>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0" fontId="1" numFmtId="4" xfId="0" applyFont="1" applyNumberForma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48.38"/>
    <col customWidth="1" min="3" max="4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tr">
        <f>IFERROR(
  VLOOKUP(C2, category_map!A:B, 2, FALSE),
  C2
)
</f>
        <v>Chất đạm/Sữa</v>
      </c>
      <c r="E2" s="1">
        <v>180.0</v>
      </c>
      <c r="F2" s="2">
        <v>12.0</v>
      </c>
      <c r="G2" s="3">
        <v>2.0</v>
      </c>
      <c r="H2" s="3">
        <v>14.0</v>
      </c>
      <c r="I2" s="1">
        <v>0.0</v>
      </c>
      <c r="J2" s="3">
        <v>1.0</v>
      </c>
      <c r="K2" s="1">
        <v>180.0</v>
      </c>
      <c r="L2" s="1">
        <v>370.0</v>
      </c>
      <c r="M2" s="1" t="s">
        <v>17</v>
      </c>
      <c r="N2" s="1">
        <v>250.0</v>
      </c>
    </row>
    <row r="3">
      <c r="A3" s="1" t="s">
        <v>18</v>
      </c>
      <c r="B3" s="1" t="s">
        <v>19</v>
      </c>
      <c r="C3" s="1" t="s">
        <v>20</v>
      </c>
      <c r="D3" s="1" t="str">
        <f>IFERROR(
  VLOOKUP(C3, category_map!A:B, 2, FALSE),
  C3
)
</f>
        <v>Ngũ cốc</v>
      </c>
      <c r="E3" s="1">
        <v>80.0</v>
      </c>
      <c r="F3" s="2">
        <v>4.0</v>
      </c>
      <c r="G3" s="3">
        <v>14.0</v>
      </c>
      <c r="H3" s="3">
        <v>1.0</v>
      </c>
      <c r="I3" s="1">
        <v>2.0</v>
      </c>
      <c r="J3" s="3">
        <v>2.0</v>
      </c>
      <c r="K3" s="1">
        <v>140.0</v>
      </c>
      <c r="L3" s="1">
        <v>0.0</v>
      </c>
      <c r="M3" s="1" t="s">
        <v>17</v>
      </c>
      <c r="N3" s="1">
        <v>0.0</v>
      </c>
    </row>
    <row r="4">
      <c r="A4" s="1" t="s">
        <v>21</v>
      </c>
      <c r="B4" s="1" t="s">
        <v>22</v>
      </c>
      <c r="C4" s="1" t="s">
        <v>23</v>
      </c>
      <c r="D4" s="1" t="str">
        <f>IFERROR(
  VLOOKUP(C4, category_map!A:B, 2, FALSE),
  C4
)
</f>
        <v>Đồ uống</v>
      </c>
      <c r="E4" s="1">
        <v>5.0</v>
      </c>
      <c r="F4" s="2" t="s">
        <v>24</v>
      </c>
      <c r="G4" s="3">
        <v>0.0</v>
      </c>
      <c r="H4" s="3" t="s">
        <v>25</v>
      </c>
      <c r="I4" s="1">
        <v>0.0</v>
      </c>
      <c r="J4" s="3">
        <v>0.0</v>
      </c>
      <c r="K4" s="1">
        <v>5.0</v>
      </c>
      <c r="L4" s="1">
        <v>0.0</v>
      </c>
      <c r="M4" s="1" t="s">
        <v>17</v>
      </c>
      <c r="N4" s="1">
        <v>0.0</v>
      </c>
    </row>
    <row r="5">
      <c r="A5" s="1" t="s">
        <v>26</v>
      </c>
      <c r="B5" s="1" t="s">
        <v>27</v>
      </c>
      <c r="C5" s="1" t="s">
        <v>28</v>
      </c>
      <c r="D5" s="1" t="str">
        <f>IFERROR(
  VLOOKUP(C5, category_map!A:B, 2, FALSE),
  C5
)
</f>
        <v>Trái cây</v>
      </c>
      <c r="E5" s="1">
        <v>105.0</v>
      </c>
      <c r="F5" s="2">
        <v>46082.0</v>
      </c>
      <c r="G5" s="3">
        <v>27.0</v>
      </c>
      <c r="H5" s="3" t="s">
        <v>29</v>
      </c>
      <c r="I5" s="4">
        <v>46025.0</v>
      </c>
      <c r="J5" s="3">
        <v>14.0</v>
      </c>
      <c r="K5" s="1">
        <v>1.0</v>
      </c>
      <c r="L5" s="1">
        <v>0.0</v>
      </c>
      <c r="M5" s="1" t="s">
        <v>17</v>
      </c>
      <c r="N5" s="1">
        <v>0.0</v>
      </c>
    </row>
    <row r="6">
      <c r="A6" s="1" t="s">
        <v>30</v>
      </c>
      <c r="B6" s="1" t="s">
        <v>31</v>
      </c>
      <c r="C6" s="1" t="s">
        <v>32</v>
      </c>
      <c r="D6" s="1" t="str">
        <f>IFERROR(
  VLOOKUP(C6, category_map!A:B, 2, FALSE),
  C6
)
</f>
        <v>Bữa ăn/Chất đạm</v>
      </c>
      <c r="E6" s="1">
        <v>350.0</v>
      </c>
      <c r="F6" s="2">
        <v>30.0</v>
      </c>
      <c r="G6" s="3">
        <v>10.0</v>
      </c>
      <c r="H6" s="3">
        <v>20.0</v>
      </c>
      <c r="I6" s="1">
        <v>5.0</v>
      </c>
      <c r="J6" s="3">
        <v>4.0</v>
      </c>
      <c r="K6" s="1">
        <v>400.0</v>
      </c>
      <c r="L6" s="1">
        <v>80.0</v>
      </c>
      <c r="M6" s="1" t="s">
        <v>33</v>
      </c>
      <c r="N6" s="1">
        <v>500.0</v>
      </c>
    </row>
    <row r="7">
      <c r="A7" s="1" t="s">
        <v>34</v>
      </c>
      <c r="B7" s="1" t="s">
        <v>35</v>
      </c>
      <c r="C7" s="1" t="s">
        <v>28</v>
      </c>
      <c r="D7" s="1" t="str">
        <f>IFERROR(
  VLOOKUP(C7, category_map!A:B, 2, FALSE),
  C7
)
</f>
        <v>Trái cây</v>
      </c>
      <c r="E7" s="1">
        <v>95.0</v>
      </c>
      <c r="F7" s="2" t="s">
        <v>36</v>
      </c>
      <c r="G7" s="3">
        <v>25.0</v>
      </c>
      <c r="H7" s="3" t="s">
        <v>24</v>
      </c>
      <c r="I7" s="4">
        <v>46116.0</v>
      </c>
      <c r="J7" s="3">
        <v>19.0</v>
      </c>
      <c r="K7" s="1">
        <v>2.0</v>
      </c>
      <c r="L7" s="1">
        <v>0.0</v>
      </c>
      <c r="M7" s="1" t="s">
        <v>37</v>
      </c>
      <c r="N7" s="1">
        <v>0.0</v>
      </c>
    </row>
    <row r="8">
      <c r="A8" s="1" t="s">
        <v>38</v>
      </c>
      <c r="B8" s="1" t="s">
        <v>39</v>
      </c>
      <c r="C8" s="1" t="s">
        <v>40</v>
      </c>
      <c r="D8" s="1" t="str">
        <f>IFERROR(
  VLOOKUP(C8, category_map!A:B, 2, FALSE),
  C8
)
</f>
        <v>Chất đạm/Cá</v>
      </c>
      <c r="E8" s="1">
        <v>230.0</v>
      </c>
      <c r="F8" s="2">
        <v>25.0</v>
      </c>
      <c r="G8" s="3">
        <v>0.0</v>
      </c>
      <c r="H8" s="3">
        <v>14.0</v>
      </c>
      <c r="I8" s="1">
        <v>0.0</v>
      </c>
      <c r="J8" s="3">
        <v>0.0</v>
      </c>
      <c r="K8" s="1">
        <v>60.0</v>
      </c>
      <c r="L8" s="1">
        <v>60.0</v>
      </c>
      <c r="M8" s="1" t="s">
        <v>41</v>
      </c>
      <c r="N8" s="1">
        <v>250.0</v>
      </c>
    </row>
    <row r="9">
      <c r="A9" s="1" t="s">
        <v>42</v>
      </c>
      <c r="B9" s="1" t="s">
        <v>43</v>
      </c>
      <c r="C9" s="1" t="s">
        <v>20</v>
      </c>
      <c r="D9" s="1" t="str">
        <f>IFERROR(
  VLOOKUP(C9, category_map!A:B, 2, FALSE),
  C9
)
</f>
        <v>Ngũ cốc</v>
      </c>
      <c r="E9" s="1">
        <v>222.0</v>
      </c>
      <c r="F9" s="2">
        <v>8.0</v>
      </c>
      <c r="G9" s="3">
        <v>39.0</v>
      </c>
      <c r="H9" s="3">
        <v>46176.0</v>
      </c>
      <c r="I9" s="1">
        <v>5.0</v>
      </c>
      <c r="J9" s="3">
        <v>1.0</v>
      </c>
      <c r="K9" s="1">
        <v>13.0</v>
      </c>
      <c r="L9" s="1">
        <v>0.0</v>
      </c>
      <c r="M9" s="1" t="s">
        <v>41</v>
      </c>
      <c r="N9" s="1">
        <v>0.0</v>
      </c>
    </row>
    <row r="10">
      <c r="A10" s="1" t="s">
        <v>44</v>
      </c>
      <c r="B10" s="1" t="s">
        <v>45</v>
      </c>
      <c r="C10" s="1" t="s">
        <v>46</v>
      </c>
      <c r="D10" s="1" t="str">
        <f>IFERROR(
  VLOOKUP(C10, category_map!A:B, 2, FALSE),
  C10
)
</f>
        <v>Rau củ</v>
      </c>
      <c r="E10" s="1">
        <v>55.0</v>
      </c>
      <c r="F10" s="2">
        <v>46206.0</v>
      </c>
      <c r="G10" s="3">
        <v>46064.0</v>
      </c>
      <c r="H10" s="3" t="s">
        <v>47</v>
      </c>
      <c r="I10" s="4">
        <v>46027.0</v>
      </c>
      <c r="J10" s="3">
        <v>2.0</v>
      </c>
      <c r="K10" s="1">
        <v>40.0</v>
      </c>
      <c r="L10" s="1">
        <v>0.0</v>
      </c>
      <c r="M10" s="1" t="s">
        <v>41</v>
      </c>
      <c r="N10" s="1">
        <v>0.0</v>
      </c>
    </row>
    <row r="11">
      <c r="A11" s="1" t="s">
        <v>48</v>
      </c>
      <c r="B11" s="1" t="s">
        <v>49</v>
      </c>
      <c r="C11" s="1" t="s">
        <v>50</v>
      </c>
      <c r="D11" s="1" t="str">
        <f>IFERROR(
  VLOOKUP(C11, category_map!A:B, 2, FALSE),
  C11
)
</f>
        <v>Sản phẩm từ sữa</v>
      </c>
      <c r="E11" s="1">
        <v>150.0</v>
      </c>
      <c r="F11" s="2">
        <v>25.0</v>
      </c>
      <c r="G11" s="3">
        <v>8.0</v>
      </c>
      <c r="H11" s="3">
        <v>3.0</v>
      </c>
      <c r="I11" s="1">
        <v>0.0</v>
      </c>
      <c r="J11" s="3">
        <v>7.0</v>
      </c>
      <c r="K11" s="1">
        <v>85.0</v>
      </c>
      <c r="L11" s="1">
        <v>10.0</v>
      </c>
      <c r="M11" s="1" t="s">
        <v>37</v>
      </c>
      <c r="N11" s="1">
        <v>250.0</v>
      </c>
    </row>
    <row r="12">
      <c r="A12" s="1" t="s">
        <v>51</v>
      </c>
      <c r="B12" s="1" t="s">
        <v>52</v>
      </c>
      <c r="C12" s="1" t="s">
        <v>20</v>
      </c>
      <c r="D12" s="1" t="str">
        <f>IFERROR(
  VLOOKUP(C12, category_map!A:B, 2, FALSE),
  C12
)
</f>
        <v>Ngũ cốc</v>
      </c>
      <c r="E12" s="1">
        <v>160.0</v>
      </c>
      <c r="F12" s="2">
        <v>6.0</v>
      </c>
      <c r="G12" s="3">
        <v>28.0</v>
      </c>
      <c r="H12" s="3">
        <v>3.0</v>
      </c>
      <c r="I12" s="1">
        <v>4.0</v>
      </c>
      <c r="J12" s="3">
        <v>1.0</v>
      </c>
      <c r="K12" s="1">
        <v>2.0</v>
      </c>
      <c r="L12" s="1">
        <v>0.0</v>
      </c>
      <c r="M12" s="1" t="s">
        <v>17</v>
      </c>
      <c r="N12" s="1">
        <v>250.0</v>
      </c>
    </row>
    <row r="13">
      <c r="A13" s="1" t="s">
        <v>53</v>
      </c>
      <c r="B13" s="1" t="s">
        <v>54</v>
      </c>
      <c r="C13" s="1" t="s">
        <v>28</v>
      </c>
      <c r="D13" s="1" t="str">
        <f>IFERROR(
  VLOOKUP(C13, category_map!A:B, 2, FALSE),
  C13
)
</f>
        <v>Trái cây</v>
      </c>
      <c r="E13" s="1">
        <v>42.0</v>
      </c>
      <c r="F13" s="2" t="s">
        <v>36</v>
      </c>
      <c r="G13" s="3">
        <v>11.0</v>
      </c>
      <c r="H13" s="3" t="s">
        <v>55</v>
      </c>
      <c r="I13" s="4">
        <v>46235.0</v>
      </c>
      <c r="J13" s="3">
        <v>7.0</v>
      </c>
      <c r="K13" s="1">
        <v>1.0</v>
      </c>
      <c r="L13" s="1">
        <v>0.0</v>
      </c>
      <c r="M13" s="1" t="s">
        <v>17</v>
      </c>
      <c r="N13" s="1">
        <v>0.0</v>
      </c>
    </row>
    <row r="14">
      <c r="A14" s="1" t="s">
        <v>56</v>
      </c>
      <c r="B14" s="1" t="s">
        <v>57</v>
      </c>
      <c r="C14" s="1" t="s">
        <v>58</v>
      </c>
      <c r="D14" s="1" t="str">
        <f>IFERROR(
  VLOOKUP(C14, category_map!A:B, 2, FALSE),
  C14
)
</f>
        <v>Hạt</v>
      </c>
      <c r="E14" s="1">
        <v>164.0</v>
      </c>
      <c r="F14" s="2">
        <v>6.0</v>
      </c>
      <c r="G14" s="3">
        <v>6.0</v>
      </c>
      <c r="H14" s="3">
        <v>14.0</v>
      </c>
      <c r="I14" s="4">
        <v>46145.0</v>
      </c>
      <c r="J14" s="3">
        <v>1.0</v>
      </c>
      <c r="K14" s="1">
        <v>1.0</v>
      </c>
      <c r="L14" s="1">
        <v>0.0</v>
      </c>
      <c r="M14" s="1" t="s">
        <v>37</v>
      </c>
      <c r="N14" s="1">
        <v>0.0</v>
      </c>
    </row>
    <row r="15">
      <c r="A15" s="1" t="s">
        <v>59</v>
      </c>
      <c r="B15" s="1" t="s">
        <v>60</v>
      </c>
      <c r="C15" s="1" t="s">
        <v>61</v>
      </c>
      <c r="D15" s="1" t="str">
        <f>IFERROR(
  VLOOKUP(C15, category_map!A:B, 2, FALSE),
  C15
)
</f>
        <v>Bữa ăn/Chế biến</v>
      </c>
      <c r="E15" s="1">
        <v>340.0</v>
      </c>
      <c r="F15" s="2">
        <v>22.0</v>
      </c>
      <c r="G15" s="3">
        <v>34.0</v>
      </c>
      <c r="H15" s="3">
        <v>12.0</v>
      </c>
      <c r="I15" s="1">
        <v>5.0</v>
      </c>
      <c r="J15" s="3">
        <v>6.0</v>
      </c>
      <c r="K15" s="1">
        <v>850.0</v>
      </c>
      <c r="L15" s="1">
        <v>50.0</v>
      </c>
      <c r="M15" s="1" t="s">
        <v>33</v>
      </c>
      <c r="N15" s="1">
        <v>500.0</v>
      </c>
    </row>
    <row r="16">
      <c r="A16" s="1" t="s">
        <v>62</v>
      </c>
      <c r="B16" s="1" t="s">
        <v>63</v>
      </c>
      <c r="C16" s="1" t="s">
        <v>46</v>
      </c>
      <c r="D16" s="1" t="str">
        <f>IFERROR(
  VLOOKUP(C16, category_map!A:B, 2, FALSE),
  C16
)
</f>
        <v>Rau củ</v>
      </c>
      <c r="E16" s="1">
        <v>52.0</v>
      </c>
      <c r="F16" s="2">
        <v>46054.0</v>
      </c>
      <c r="G16" s="3">
        <v>46093.0</v>
      </c>
      <c r="H16" s="3" t="s">
        <v>24</v>
      </c>
      <c r="I16" s="4">
        <v>46176.0</v>
      </c>
      <c r="J16" s="3">
        <v>6.0</v>
      </c>
      <c r="K16" s="1">
        <v>88.0</v>
      </c>
      <c r="L16" s="1">
        <v>0.0</v>
      </c>
      <c r="M16" s="1" t="s">
        <v>37</v>
      </c>
      <c r="N16" s="1">
        <v>0.0</v>
      </c>
    </row>
    <row r="17">
      <c r="A17" s="1" t="s">
        <v>64</v>
      </c>
      <c r="B17" s="1" t="s">
        <v>65</v>
      </c>
      <c r="C17" s="1" t="s">
        <v>66</v>
      </c>
      <c r="D17" s="1" t="str">
        <f>IFERROR(
  VLOOKUP(C17, category_map!A:B, 2, FALSE),
  C17
)
</f>
        <v>Bữa ăn/Mì ống</v>
      </c>
      <c r="E17" s="1">
        <v>460.0</v>
      </c>
      <c r="F17" s="2">
        <v>20.0</v>
      </c>
      <c r="G17" s="3">
        <v>55.0</v>
      </c>
      <c r="H17" s="3">
        <v>18.0</v>
      </c>
      <c r="I17" s="1">
        <v>6.0</v>
      </c>
      <c r="J17" s="3">
        <v>10.0</v>
      </c>
      <c r="K17" s="1">
        <v>700.0</v>
      </c>
      <c r="L17" s="1">
        <v>50.0</v>
      </c>
      <c r="M17" s="1" t="s">
        <v>41</v>
      </c>
      <c r="N17" s="1">
        <v>250.0</v>
      </c>
    </row>
    <row r="18">
      <c r="A18" s="1" t="s">
        <v>67</v>
      </c>
      <c r="B18" s="1" t="s">
        <v>68</v>
      </c>
      <c r="C18" s="1" t="s">
        <v>46</v>
      </c>
      <c r="D18" s="1" t="str">
        <f>IFERROR(
  VLOOKUP(C18, category_map!A:B, 2, FALSE),
  C18
)
</f>
        <v>Rau củ</v>
      </c>
      <c r="E18" s="1">
        <v>70.0</v>
      </c>
      <c r="F18" s="2">
        <v>2.0</v>
      </c>
      <c r="G18" s="3">
        <v>8.0</v>
      </c>
      <c r="H18" s="3">
        <v>4.0</v>
      </c>
      <c r="I18" s="1">
        <v>3.0</v>
      </c>
      <c r="J18" s="3">
        <v>3.0</v>
      </c>
      <c r="K18" s="1">
        <v>150.0</v>
      </c>
      <c r="L18" s="1">
        <v>0.0</v>
      </c>
      <c r="M18" s="1" t="s">
        <v>41</v>
      </c>
      <c r="N18" s="1">
        <v>0.0</v>
      </c>
    </row>
    <row r="19">
      <c r="A19" s="1" t="s">
        <v>69</v>
      </c>
      <c r="B19" s="1" t="s">
        <v>70</v>
      </c>
      <c r="C19" s="1" t="s">
        <v>71</v>
      </c>
      <c r="D19" s="1" t="str">
        <f>IFERROR(
  VLOOKUP(C19, category_map!A:B, 2, FALSE),
  C19
)
</f>
        <v>Thực phẩm bổ sung</v>
      </c>
      <c r="E19" s="1">
        <v>120.0</v>
      </c>
      <c r="F19" s="2">
        <v>24.0</v>
      </c>
      <c r="G19" s="3">
        <v>3.0</v>
      </c>
      <c r="H19" s="3">
        <v>1.0</v>
      </c>
      <c r="I19" s="1">
        <v>1.0</v>
      </c>
      <c r="J19" s="3">
        <v>2.0</v>
      </c>
      <c r="K19" s="1">
        <v>160.0</v>
      </c>
      <c r="L19" s="1">
        <v>5.0</v>
      </c>
      <c r="M19" s="1" t="s">
        <v>37</v>
      </c>
      <c r="N19" s="1">
        <v>500.0</v>
      </c>
    </row>
    <row r="20">
      <c r="A20" s="1" t="s">
        <v>72</v>
      </c>
      <c r="B20" s="1" t="s">
        <v>73</v>
      </c>
      <c r="C20" s="1" t="s">
        <v>74</v>
      </c>
      <c r="D20" s="1" t="str">
        <f>IFERROR(
  VLOOKUP(C20, category_map!A:B, 2, FALSE),
  C20
)
</f>
        <v>Ngũ cốc/Chế biến</v>
      </c>
      <c r="E20" s="1">
        <v>130.0</v>
      </c>
      <c r="F20" s="2">
        <v>2.0</v>
      </c>
      <c r="G20" s="3">
        <v>31.0</v>
      </c>
      <c r="H20" s="3">
        <v>0.0</v>
      </c>
      <c r="I20" s="1">
        <v>1.0</v>
      </c>
      <c r="J20" s="3">
        <v>11.0</v>
      </c>
      <c r="K20" s="1">
        <v>190.0</v>
      </c>
      <c r="L20" s="1">
        <v>0.0</v>
      </c>
      <c r="M20" s="1" t="s">
        <v>17</v>
      </c>
      <c r="N20" s="1">
        <v>0.0</v>
      </c>
    </row>
    <row r="21">
      <c r="A21" s="1" t="s">
        <v>75</v>
      </c>
      <c r="B21" s="1" t="s">
        <v>76</v>
      </c>
      <c r="C21" s="1" t="s">
        <v>50</v>
      </c>
      <c r="D21" s="1" t="str">
        <f>IFERROR(
  VLOOKUP(C21, category_map!A:B, 2, FALSE),
  C21
)
</f>
        <v>Sản phẩm từ sữa</v>
      </c>
      <c r="E21" s="1">
        <v>122.0</v>
      </c>
      <c r="F21" s="2">
        <v>8.0</v>
      </c>
      <c r="G21" s="3">
        <v>12.0</v>
      </c>
      <c r="H21" s="3">
        <v>5.0</v>
      </c>
      <c r="I21" s="1">
        <v>0.0</v>
      </c>
      <c r="J21" s="3">
        <v>12.0</v>
      </c>
      <c r="K21" s="1">
        <v>100.0</v>
      </c>
      <c r="L21" s="1">
        <v>20.0</v>
      </c>
      <c r="M21" s="1" t="s">
        <v>17</v>
      </c>
      <c r="N21" s="1">
        <v>0.0</v>
      </c>
    </row>
    <row r="22">
      <c r="A22" s="1" t="s">
        <v>77</v>
      </c>
      <c r="B22" s="1" t="s">
        <v>78</v>
      </c>
      <c r="C22" s="1" t="s">
        <v>79</v>
      </c>
      <c r="D22" s="1" t="str">
        <f>IFERROR(
  VLOOKUP(C22, category_map!A:B, 2, FALSE),
  C22
)
</f>
        <v>Bữa ăn/Đậu</v>
      </c>
      <c r="E22" s="1">
        <v>230.0</v>
      </c>
      <c r="F22" s="2">
        <v>15.0</v>
      </c>
      <c r="G22" s="3">
        <v>35.0</v>
      </c>
      <c r="H22" s="3">
        <v>3.0</v>
      </c>
      <c r="I22" s="1">
        <v>12.0</v>
      </c>
      <c r="J22" s="3">
        <v>6.0</v>
      </c>
      <c r="K22" s="1">
        <v>650.0</v>
      </c>
      <c r="L22" s="1">
        <v>0.0</v>
      </c>
      <c r="M22" s="1" t="s">
        <v>33</v>
      </c>
      <c r="N22" s="1">
        <v>250.0</v>
      </c>
    </row>
    <row r="23">
      <c r="A23" s="1" t="s">
        <v>80</v>
      </c>
      <c r="B23" s="1" t="s">
        <v>81</v>
      </c>
      <c r="C23" s="1" t="s">
        <v>20</v>
      </c>
      <c r="D23" s="1" t="str">
        <f>IFERROR(
  VLOOKUP(C23, category_map!A:B, 2, FALSE),
  C23
)
</f>
        <v>Ngũ cốc</v>
      </c>
      <c r="E23" s="1">
        <v>204.0</v>
      </c>
      <c r="F23" s="2">
        <v>46057.0</v>
      </c>
      <c r="G23" s="3" t="s">
        <v>82</v>
      </c>
      <c r="H23" s="3" t="s">
        <v>29</v>
      </c>
      <c r="I23" s="1" t="s">
        <v>47</v>
      </c>
      <c r="J23" s="3" t="s">
        <v>25</v>
      </c>
      <c r="K23" s="1">
        <v>2.0</v>
      </c>
      <c r="L23" s="1">
        <v>0.0</v>
      </c>
      <c r="M23" s="1" t="s">
        <v>41</v>
      </c>
      <c r="N23" s="1">
        <v>0.0</v>
      </c>
    </row>
    <row r="24">
      <c r="A24" s="1" t="s">
        <v>83</v>
      </c>
      <c r="B24" s="1" t="s">
        <v>84</v>
      </c>
      <c r="C24" s="1" t="s">
        <v>85</v>
      </c>
      <c r="D24" s="1" t="str">
        <f>IFERROR(
  VLOOKUP(C24, category_map!A:B, 2, FALSE),
  C24
)
</f>
        <v>Bữa ăn/Chay</v>
      </c>
      <c r="E24" s="1">
        <v>400.0</v>
      </c>
      <c r="F24" s="2">
        <v>18.0</v>
      </c>
      <c r="G24" s="3">
        <v>30.0</v>
      </c>
      <c r="H24" s="3">
        <v>22.0</v>
      </c>
      <c r="I24" s="1">
        <v>7.0</v>
      </c>
      <c r="J24" s="3">
        <v>9.0</v>
      </c>
      <c r="K24" s="1">
        <v>500.0</v>
      </c>
      <c r="L24" s="1">
        <v>0.0</v>
      </c>
      <c r="M24" s="1" t="s">
        <v>41</v>
      </c>
      <c r="N24" s="1">
        <v>250.0</v>
      </c>
    </row>
    <row r="25">
      <c r="A25" s="1" t="s">
        <v>86</v>
      </c>
      <c r="B25" s="1" t="s">
        <v>87</v>
      </c>
      <c r="C25" s="1" t="s">
        <v>28</v>
      </c>
      <c r="D25" s="1" t="str">
        <f>IFERROR(
  VLOOKUP(C25, category_map!A:B, 2, FALSE),
  C25
)
</f>
        <v>Trái cây</v>
      </c>
      <c r="E25" s="1">
        <v>62.0</v>
      </c>
      <c r="F25" s="2">
        <v>46054.0</v>
      </c>
      <c r="G25" s="3">
        <v>46127.0</v>
      </c>
      <c r="H25" s="3" t="s">
        <v>55</v>
      </c>
      <c r="I25" s="4">
        <v>46025.0</v>
      </c>
      <c r="J25" s="3">
        <v>12.0</v>
      </c>
      <c r="K25" s="1">
        <v>0.0</v>
      </c>
      <c r="L25" s="1">
        <v>0.0</v>
      </c>
      <c r="M25" s="1" t="s">
        <v>37</v>
      </c>
      <c r="N25" s="1">
        <v>0.0</v>
      </c>
    </row>
    <row r="26">
      <c r="A26" s="1" t="s">
        <v>88</v>
      </c>
      <c r="B26" s="1" t="s">
        <v>89</v>
      </c>
      <c r="C26" s="1" t="s">
        <v>20</v>
      </c>
      <c r="D26" s="1" t="str">
        <f>IFERROR(
  VLOOKUP(C26, category_map!A:B, 2, FALSE),
  C26
)
</f>
        <v>Ngũ cốc</v>
      </c>
      <c r="E26" s="1">
        <v>270.0</v>
      </c>
      <c r="F26" s="2">
        <v>11.0</v>
      </c>
      <c r="G26" s="3">
        <v>55.0</v>
      </c>
      <c r="H26" s="3">
        <v>46143.0</v>
      </c>
      <c r="I26" s="1">
        <v>2.0</v>
      </c>
      <c r="J26" s="3">
        <v>5.0</v>
      </c>
      <c r="K26" s="1">
        <v>430.0</v>
      </c>
      <c r="L26" s="1">
        <v>0.0</v>
      </c>
      <c r="M26" s="1" t="s">
        <v>17</v>
      </c>
      <c r="N26" s="1">
        <v>250.0</v>
      </c>
    </row>
    <row r="27">
      <c r="A27" s="1" t="s">
        <v>90</v>
      </c>
      <c r="B27" s="1" t="s">
        <v>91</v>
      </c>
      <c r="C27" s="1" t="s">
        <v>50</v>
      </c>
      <c r="D27" s="1" t="str">
        <f>IFERROR(
  VLOOKUP(C27, category_map!A:B, 2, FALSE),
  C27
)
</f>
        <v>Sản phẩm từ sữa</v>
      </c>
      <c r="E27" s="1">
        <v>100.0</v>
      </c>
      <c r="F27" s="2">
        <v>2.0</v>
      </c>
      <c r="G27" s="3">
        <v>2.0</v>
      </c>
      <c r="H27" s="3">
        <v>10.0</v>
      </c>
      <c r="I27" s="1">
        <v>0.0</v>
      </c>
      <c r="J27" s="3">
        <v>1.0</v>
      </c>
      <c r="K27" s="1">
        <v>90.0</v>
      </c>
      <c r="L27" s="1">
        <v>30.0</v>
      </c>
      <c r="M27" s="1" t="s">
        <v>17</v>
      </c>
      <c r="N27" s="1">
        <v>0.0</v>
      </c>
    </row>
    <row r="28">
      <c r="A28" s="1" t="s">
        <v>92</v>
      </c>
      <c r="B28" s="1" t="s">
        <v>93</v>
      </c>
      <c r="C28" s="1" t="s">
        <v>94</v>
      </c>
      <c r="D28" s="1" t="str">
        <f>IFERROR(
  VLOOKUP(C28, category_map!A:B, 2, FALSE),
  C28
)
</f>
        <v>Bữa ăn/Cá</v>
      </c>
      <c r="E28" s="1">
        <v>190.0</v>
      </c>
      <c r="F28" s="2">
        <v>19.0</v>
      </c>
      <c r="G28" s="3">
        <v>2.0</v>
      </c>
      <c r="H28" s="3">
        <v>12.0</v>
      </c>
      <c r="I28" s="1">
        <v>1.0</v>
      </c>
      <c r="J28" s="3">
        <v>1.0</v>
      </c>
      <c r="K28" s="1">
        <v>400.0</v>
      </c>
      <c r="L28" s="1">
        <v>30.0</v>
      </c>
      <c r="M28" s="1" t="s">
        <v>33</v>
      </c>
      <c r="N28" s="1">
        <v>500.0</v>
      </c>
    </row>
    <row r="29">
      <c r="A29" s="1" t="s">
        <v>95</v>
      </c>
      <c r="B29" s="1" t="s">
        <v>96</v>
      </c>
      <c r="C29" s="1" t="s">
        <v>74</v>
      </c>
      <c r="D29" s="1" t="str">
        <f>IFERROR(
  VLOOKUP(C29, category_map!A:B, 2, FALSE),
  C29
)
</f>
        <v>Ngũ cốc/Chế biến</v>
      </c>
      <c r="E29" s="1">
        <v>90.0</v>
      </c>
      <c r="F29" s="2">
        <v>2.0</v>
      </c>
      <c r="G29" s="3">
        <v>14.0</v>
      </c>
      <c r="H29" s="3">
        <v>3.0</v>
      </c>
      <c r="I29" s="1">
        <v>2.0</v>
      </c>
      <c r="J29" s="3">
        <v>0.0</v>
      </c>
      <c r="K29" s="1">
        <v>180.0</v>
      </c>
      <c r="L29" s="1">
        <v>0.0</v>
      </c>
      <c r="M29" s="1" t="s">
        <v>33</v>
      </c>
      <c r="N29" s="1">
        <v>0.0</v>
      </c>
    </row>
    <row r="30">
      <c r="A30" s="1" t="s">
        <v>97</v>
      </c>
      <c r="B30" s="1" t="s">
        <v>98</v>
      </c>
      <c r="C30" s="1" t="s">
        <v>99</v>
      </c>
      <c r="D30" s="1" t="str">
        <f>IFERROR(
  VLOOKUP(C30, category_map!A:B, 2, FALSE),
  C30
)
</f>
        <v>Chất đạm/Thịt</v>
      </c>
      <c r="E30" s="1">
        <v>270.0</v>
      </c>
      <c r="F30" s="2">
        <v>42.0</v>
      </c>
      <c r="G30" s="3">
        <v>0.0</v>
      </c>
      <c r="H30" s="3">
        <v>10.0</v>
      </c>
      <c r="I30" s="1">
        <v>0.0</v>
      </c>
      <c r="J30" s="3">
        <v>0.0</v>
      </c>
      <c r="K30" s="1">
        <v>90.0</v>
      </c>
      <c r="L30" s="1">
        <v>115.0</v>
      </c>
      <c r="M30" s="1" t="s">
        <v>41</v>
      </c>
      <c r="N30" s="1">
        <v>250.0</v>
      </c>
    </row>
    <row r="31">
      <c r="A31" s="1" t="s">
        <v>100</v>
      </c>
      <c r="B31" s="1" t="s">
        <v>101</v>
      </c>
      <c r="C31" s="1" t="s">
        <v>46</v>
      </c>
      <c r="D31" s="1" t="str">
        <f>IFERROR(
  VLOOKUP(C31, category_map!A:B, 2, FALSE),
  C31
)
</f>
        <v>Rau củ</v>
      </c>
      <c r="E31" s="1">
        <v>160.0</v>
      </c>
      <c r="F31" s="2">
        <v>46085.0</v>
      </c>
      <c r="G31" s="3">
        <v>36.0</v>
      </c>
      <c r="H31" s="3" t="s">
        <v>55</v>
      </c>
      <c r="I31" s="4">
        <v>46237.0</v>
      </c>
      <c r="J31" s="3">
        <v>1.0</v>
      </c>
      <c r="K31" s="1">
        <v>17.0</v>
      </c>
      <c r="L31" s="1">
        <v>0.0</v>
      </c>
      <c r="M31" s="1" t="s">
        <v>41</v>
      </c>
      <c r="N31" s="1">
        <v>0.0</v>
      </c>
    </row>
    <row r="32">
      <c r="A32" s="1" t="s">
        <v>102</v>
      </c>
      <c r="B32" s="1" t="s">
        <v>103</v>
      </c>
      <c r="C32" s="1" t="s">
        <v>104</v>
      </c>
      <c r="D32" s="1" t="str">
        <f>IFERROR(
  VLOOKUP(C32, category_map!A:B, 2, FALSE),
  C32
)
</f>
        <v>Sữa/Tráng miệng</v>
      </c>
      <c r="E32" s="1">
        <v>145.0</v>
      </c>
      <c r="F32" s="2">
        <v>46144.0</v>
      </c>
      <c r="G32" s="3">
        <v>17.0</v>
      </c>
      <c r="H32" s="3">
        <v>46149.0</v>
      </c>
      <c r="I32" s="1" t="s">
        <v>36</v>
      </c>
      <c r="J32" s="3">
        <v>16.0</v>
      </c>
      <c r="K32" s="1">
        <v>55.0</v>
      </c>
      <c r="L32" s="1">
        <v>30.0</v>
      </c>
      <c r="M32" s="1" t="s">
        <v>37</v>
      </c>
      <c r="N32" s="1">
        <v>0.0</v>
      </c>
    </row>
    <row r="33">
      <c r="A33" s="1" t="s">
        <v>105</v>
      </c>
      <c r="B33" s="1" t="s">
        <v>106</v>
      </c>
      <c r="C33" s="1" t="s">
        <v>61</v>
      </c>
      <c r="D33" s="1" t="str">
        <f>IFERROR(
  VLOOKUP(C33, category_map!A:B, 2, FALSE),
  C33
)
</f>
        <v>Bữa ăn/Chế biến</v>
      </c>
      <c r="E33" s="1">
        <v>290.0</v>
      </c>
      <c r="F33" s="2">
        <v>12.0</v>
      </c>
      <c r="G33" s="3">
        <v>34.0</v>
      </c>
      <c r="H33" s="3">
        <v>12.0</v>
      </c>
      <c r="I33" s="1">
        <v>2.0</v>
      </c>
      <c r="J33" s="3">
        <v>4.0</v>
      </c>
      <c r="K33" s="1">
        <v>720.0</v>
      </c>
      <c r="L33" s="1">
        <v>35.0</v>
      </c>
      <c r="M33" s="1" t="s">
        <v>41</v>
      </c>
      <c r="N33" s="1">
        <v>250.0</v>
      </c>
    </row>
    <row r="34">
      <c r="A34" s="1" t="s">
        <v>107</v>
      </c>
      <c r="B34" s="1" t="s">
        <v>108</v>
      </c>
      <c r="C34" s="1" t="s">
        <v>85</v>
      </c>
      <c r="D34" s="1" t="str">
        <f>IFERROR(
  VLOOKUP(C34, category_map!A:B, 2, FALSE),
  C34
)
</f>
        <v>Bữa ăn/Chay</v>
      </c>
      <c r="E34" s="1">
        <v>260.0</v>
      </c>
      <c r="F34" s="2">
        <v>7.0</v>
      </c>
      <c r="G34" s="3">
        <v>28.0</v>
      </c>
      <c r="H34" s="3">
        <v>15.0</v>
      </c>
      <c r="I34" s="1">
        <v>10.0</v>
      </c>
      <c r="J34" s="3">
        <v>1.0</v>
      </c>
      <c r="K34" s="1">
        <v>350.0</v>
      </c>
      <c r="L34" s="1">
        <v>0.0</v>
      </c>
      <c r="M34" s="1" t="s">
        <v>17</v>
      </c>
      <c r="N34" s="1">
        <v>500.0</v>
      </c>
    </row>
    <row r="35">
      <c r="A35" s="1" t="s">
        <v>109</v>
      </c>
      <c r="B35" s="1" t="s">
        <v>110</v>
      </c>
      <c r="C35" s="1" t="s">
        <v>111</v>
      </c>
      <c r="D35" s="1" t="str">
        <f>IFERROR(
  VLOOKUP(C35, category_map!A:B, 2, FALSE),
  C35
)
</f>
        <v>Chất đạm</v>
      </c>
      <c r="E35" s="1">
        <v>78.0</v>
      </c>
      <c r="F35" s="2">
        <v>46087.0</v>
      </c>
      <c r="G35" s="3" t="s">
        <v>47</v>
      </c>
      <c r="H35" s="3">
        <v>46086.0</v>
      </c>
      <c r="I35" s="1">
        <v>0.0</v>
      </c>
      <c r="J35" s="3" t="s">
        <v>36</v>
      </c>
      <c r="K35" s="1">
        <v>62.0</v>
      </c>
      <c r="L35" s="1">
        <v>187.0</v>
      </c>
      <c r="M35" s="1" t="s">
        <v>37</v>
      </c>
      <c r="N35" s="1">
        <v>0.0</v>
      </c>
    </row>
    <row r="36">
      <c r="A36" s="1" t="s">
        <v>112</v>
      </c>
      <c r="B36" s="1" t="s">
        <v>113</v>
      </c>
      <c r="C36" s="1" t="s">
        <v>61</v>
      </c>
      <c r="D36" s="1" t="str">
        <f>IFERROR(
  VLOOKUP(C36, category_map!A:B, 2, FALSE),
  C36
)
</f>
        <v>Bữa ăn/Chế biến</v>
      </c>
      <c r="E36" s="1">
        <v>410.0</v>
      </c>
      <c r="F36" s="2">
        <v>25.0</v>
      </c>
      <c r="G36" s="3">
        <v>38.0</v>
      </c>
      <c r="H36" s="3">
        <v>17.0</v>
      </c>
      <c r="I36" s="1">
        <v>5.0</v>
      </c>
      <c r="J36" s="3">
        <v>3.0</v>
      </c>
      <c r="K36" s="1">
        <v>780.0</v>
      </c>
      <c r="L36" s="1">
        <v>60.0</v>
      </c>
      <c r="M36" s="1" t="s">
        <v>33</v>
      </c>
      <c r="N36" s="1">
        <v>250.0</v>
      </c>
    </row>
    <row r="37">
      <c r="A37" s="1" t="s">
        <v>114</v>
      </c>
      <c r="B37" s="1" t="s">
        <v>115</v>
      </c>
      <c r="C37" s="1" t="s">
        <v>28</v>
      </c>
      <c r="D37" s="1" t="str">
        <f>IFERROR(
  VLOOKUP(C37, category_map!A:B, 2, FALSE),
  C37
)
</f>
        <v>Trái cây</v>
      </c>
      <c r="E37" s="1">
        <v>104.0</v>
      </c>
      <c r="F37" s="2">
        <v>46023.0</v>
      </c>
      <c r="G37" s="3">
        <v>27.0</v>
      </c>
      <c r="H37" s="3" t="s">
        <v>55</v>
      </c>
      <c r="I37" s="4">
        <v>46113.0</v>
      </c>
      <c r="J37" s="3">
        <v>23.0</v>
      </c>
      <c r="K37" s="1">
        <v>3.0</v>
      </c>
      <c r="L37" s="1">
        <v>0.0</v>
      </c>
      <c r="M37" s="1" t="s">
        <v>37</v>
      </c>
      <c r="N37" s="1">
        <v>0.0</v>
      </c>
    </row>
    <row r="38">
      <c r="A38" s="1" t="s">
        <v>116</v>
      </c>
      <c r="B38" s="1" t="s">
        <v>117</v>
      </c>
      <c r="C38" s="1" t="s">
        <v>50</v>
      </c>
      <c r="D38" s="1" t="str">
        <f>IFERROR(
  VLOOKUP(C38, category_map!A:B, 2, FALSE),
  C38
)
</f>
        <v>Sản phẩm từ sữa</v>
      </c>
      <c r="E38" s="1">
        <v>90.0</v>
      </c>
      <c r="F38" s="2">
        <v>12.0</v>
      </c>
      <c r="G38" s="3">
        <v>5.0</v>
      </c>
      <c r="H38" s="3">
        <v>3.0</v>
      </c>
      <c r="I38" s="1">
        <v>0.0</v>
      </c>
      <c r="J38" s="3">
        <v>4.0</v>
      </c>
      <c r="K38" s="1">
        <v>400.0</v>
      </c>
      <c r="L38" s="1">
        <v>10.0</v>
      </c>
      <c r="M38" s="1" t="s">
        <v>37</v>
      </c>
      <c r="N38" s="1">
        <v>0.0</v>
      </c>
    </row>
    <row r="39">
      <c r="A39" s="1" t="s">
        <v>118</v>
      </c>
      <c r="B39" s="1" t="s">
        <v>119</v>
      </c>
      <c r="C39" s="1" t="s">
        <v>61</v>
      </c>
      <c r="D39" s="1" t="str">
        <f>IFERROR(
  VLOOKUP(C39, category_map!A:B, 2, FALSE),
  C39
)
</f>
        <v>Bữa ăn/Chế biến</v>
      </c>
      <c r="E39" s="1">
        <v>550.0</v>
      </c>
      <c r="F39" s="2">
        <v>30.0</v>
      </c>
      <c r="G39" s="3">
        <v>40.0</v>
      </c>
      <c r="H39" s="3">
        <v>30.0</v>
      </c>
      <c r="I39" s="1">
        <v>3.0</v>
      </c>
      <c r="J39" s="3">
        <v>7.0</v>
      </c>
      <c r="K39" s="1">
        <v>1100.0</v>
      </c>
      <c r="L39" s="1">
        <v>90.0</v>
      </c>
      <c r="M39" s="1" t="s">
        <v>41</v>
      </c>
      <c r="N39" s="1">
        <v>500.0</v>
      </c>
    </row>
    <row r="40">
      <c r="A40" s="1" t="s">
        <v>120</v>
      </c>
      <c r="B40" s="1" t="s">
        <v>121</v>
      </c>
      <c r="C40" s="1" t="s">
        <v>122</v>
      </c>
      <c r="D40" s="1" t="str">
        <f>IFERROR(
  VLOOKUP(C40, category_map!A:B, 2, FALSE),
  C40
)
</f>
        <v>Rau củ/Chế biến</v>
      </c>
      <c r="E40" s="1">
        <v>340.0</v>
      </c>
      <c r="F40" s="2">
        <v>4.0</v>
      </c>
      <c r="G40" s="3">
        <v>44.0</v>
      </c>
      <c r="H40" s="3">
        <v>17.0</v>
      </c>
      <c r="I40" s="1">
        <v>4.0</v>
      </c>
      <c r="J40" s="3" t="s">
        <v>24</v>
      </c>
      <c r="K40" s="1">
        <v>230.0</v>
      </c>
      <c r="L40" s="1">
        <v>0.0</v>
      </c>
      <c r="M40" s="1" t="s">
        <v>41</v>
      </c>
      <c r="N40" s="1">
        <v>0.0</v>
      </c>
    </row>
    <row r="41">
      <c r="A41" s="1" t="s">
        <v>123</v>
      </c>
      <c r="B41" s="1" t="s">
        <v>124</v>
      </c>
      <c r="C41" s="1" t="s">
        <v>125</v>
      </c>
      <c r="D41" s="1" t="str">
        <f>IFERROR(
  VLOOKUP(C41, category_map!A:B, 2, FALSE),
  C41
)
</f>
        <v>Thực phẩm bổ sung/Chế biến</v>
      </c>
      <c r="E41" s="1">
        <v>210.0</v>
      </c>
      <c r="F41" s="2">
        <v>20.0</v>
      </c>
      <c r="G41" s="3">
        <v>22.0</v>
      </c>
      <c r="H41" s="3">
        <v>7.0</v>
      </c>
      <c r="I41" s="1">
        <v>6.0</v>
      </c>
      <c r="J41" s="3">
        <v>1.0</v>
      </c>
      <c r="K41" s="1">
        <v>180.0</v>
      </c>
      <c r="L41" s="1">
        <v>5.0</v>
      </c>
      <c r="M41" s="1" t="s">
        <v>37</v>
      </c>
      <c r="N41" s="1">
        <v>500.0</v>
      </c>
    </row>
    <row r="42">
      <c r="A42" s="1" t="s">
        <v>126</v>
      </c>
      <c r="B42" s="1" t="s">
        <v>127</v>
      </c>
      <c r="C42" s="1" t="s">
        <v>128</v>
      </c>
      <c r="D42" s="1" t="str">
        <f>IFERROR(
  VLOOKUP(C42, category_map!A:B, 2, FALSE),
  C42
)
</f>
        <v>Đậu</v>
      </c>
      <c r="E42" s="1">
        <v>114.0</v>
      </c>
      <c r="F42" s="2">
        <v>46180.0</v>
      </c>
      <c r="G42" s="3">
        <v>46132.0</v>
      </c>
      <c r="H42" s="3" t="s">
        <v>36</v>
      </c>
      <c r="I42" s="4">
        <v>46149.0</v>
      </c>
      <c r="J42" s="3" t="s">
        <v>24</v>
      </c>
      <c r="K42" s="1">
        <v>1.0</v>
      </c>
      <c r="L42" s="1">
        <v>0.0</v>
      </c>
      <c r="M42" s="1" t="s">
        <v>33</v>
      </c>
      <c r="N42" s="1">
        <v>0.0</v>
      </c>
    </row>
    <row r="43">
      <c r="A43" s="1" t="s">
        <v>129</v>
      </c>
      <c r="B43" s="1" t="s">
        <v>130</v>
      </c>
      <c r="C43" s="1" t="s">
        <v>46</v>
      </c>
      <c r="D43" s="1" t="str">
        <f>IFERROR(
  VLOOKUP(C43, category_map!A:B, 2, FALSE),
  C43
)
</f>
        <v>Rau củ</v>
      </c>
      <c r="E43" s="1">
        <v>20.0</v>
      </c>
      <c r="F43" s="2" t="s">
        <v>131</v>
      </c>
      <c r="G43" s="3">
        <v>46146.0</v>
      </c>
      <c r="H43" s="3" t="s">
        <v>25</v>
      </c>
      <c r="I43" s="1">
        <v>1.0</v>
      </c>
      <c r="J43" s="3">
        <v>3.0</v>
      </c>
      <c r="K43" s="1">
        <v>250.0</v>
      </c>
      <c r="L43" s="1">
        <v>0.0</v>
      </c>
      <c r="M43" s="1" t="s">
        <v>33</v>
      </c>
      <c r="N43" s="1">
        <v>0.0</v>
      </c>
    </row>
    <row r="44">
      <c r="A44" s="1" t="s">
        <v>132</v>
      </c>
      <c r="B44" s="1" t="s">
        <v>133</v>
      </c>
      <c r="C44" s="1" t="s">
        <v>61</v>
      </c>
      <c r="D44" s="1" t="str">
        <f>IFERROR(
  VLOOKUP(C44, category_map!A:B, 2, FALSE),
  C44
)
</f>
        <v>Bữa ăn/Chế biến</v>
      </c>
      <c r="E44" s="1">
        <v>150.0</v>
      </c>
      <c r="F44" s="2">
        <v>7.0</v>
      </c>
      <c r="G44" s="3">
        <v>18.0</v>
      </c>
      <c r="H44" s="3">
        <v>5.0</v>
      </c>
      <c r="I44" s="1">
        <v>2.0</v>
      </c>
      <c r="J44" s="3">
        <v>2.0</v>
      </c>
      <c r="K44" s="1">
        <v>890.0</v>
      </c>
      <c r="L44" s="1">
        <v>15.0</v>
      </c>
      <c r="M44" s="1" t="s">
        <v>33</v>
      </c>
      <c r="N44" s="1">
        <v>250.0</v>
      </c>
    </row>
    <row r="45">
      <c r="A45" s="1" t="s">
        <v>134</v>
      </c>
      <c r="B45" s="1" t="s">
        <v>135</v>
      </c>
      <c r="C45" s="1" t="s">
        <v>58</v>
      </c>
      <c r="D45" s="1" t="str">
        <f>IFERROR(
  VLOOKUP(C45, category_map!A:B, 2, FALSE),
  C45
)
</f>
        <v>Hạt</v>
      </c>
      <c r="E45" s="1">
        <v>190.0</v>
      </c>
      <c r="F45" s="2">
        <v>7.0</v>
      </c>
      <c r="G45" s="3">
        <v>8.0</v>
      </c>
      <c r="H45" s="3">
        <v>16.0</v>
      </c>
      <c r="I45" s="1">
        <v>2.0</v>
      </c>
      <c r="J45" s="3">
        <v>3.0</v>
      </c>
      <c r="K45" s="1">
        <v>140.0</v>
      </c>
      <c r="L45" s="1">
        <v>0.0</v>
      </c>
      <c r="M45" s="1" t="s">
        <v>37</v>
      </c>
      <c r="N45" s="1">
        <v>0.0</v>
      </c>
    </row>
    <row r="46">
      <c r="A46" s="1" t="s">
        <v>136</v>
      </c>
      <c r="B46" s="1" t="s">
        <v>137</v>
      </c>
      <c r="C46" s="1" t="s">
        <v>46</v>
      </c>
      <c r="D46" s="1" t="str">
        <f>IFERROR(
  VLOOKUP(C46, category_map!A:B, 2, FALSE),
  C46
)
</f>
        <v>Rau củ</v>
      </c>
      <c r="E46" s="1">
        <v>14.0</v>
      </c>
      <c r="F46" s="2" t="s">
        <v>47</v>
      </c>
      <c r="G46" s="3">
        <v>3.0</v>
      </c>
      <c r="H46" s="3" t="s">
        <v>55</v>
      </c>
      <c r="I46" s="4">
        <v>46113.0</v>
      </c>
      <c r="J46" s="3">
        <v>46054.0</v>
      </c>
      <c r="K46" s="1">
        <v>77.0</v>
      </c>
      <c r="L46" s="1">
        <v>0.0</v>
      </c>
      <c r="M46" s="1" t="s">
        <v>37</v>
      </c>
      <c r="N46" s="1">
        <v>0.0</v>
      </c>
    </row>
    <row r="47">
      <c r="A47" s="1" t="s">
        <v>138</v>
      </c>
      <c r="B47" s="1" t="s">
        <v>139</v>
      </c>
      <c r="C47" s="1" t="s">
        <v>40</v>
      </c>
      <c r="D47" s="1" t="str">
        <f>IFERROR(
  VLOOKUP(C47, category_map!A:B, 2, FALSE),
  C47
)
</f>
        <v>Chất đạm/Cá</v>
      </c>
      <c r="E47" s="1">
        <v>95.0</v>
      </c>
      <c r="F47" s="2">
        <v>20.0</v>
      </c>
      <c r="G47" s="3">
        <v>0.0</v>
      </c>
      <c r="H47" s="3" t="s">
        <v>131</v>
      </c>
      <c r="I47" s="1">
        <v>0.0</v>
      </c>
      <c r="J47" s="3">
        <v>0.0</v>
      </c>
      <c r="K47" s="1">
        <v>95.0</v>
      </c>
      <c r="L47" s="1">
        <v>55.0</v>
      </c>
      <c r="M47" s="1" t="s">
        <v>41</v>
      </c>
      <c r="N47" s="1">
        <v>250.0</v>
      </c>
    </row>
    <row r="48">
      <c r="A48" s="1" t="s">
        <v>140</v>
      </c>
      <c r="B48" s="1" t="s">
        <v>141</v>
      </c>
      <c r="C48" s="1" t="s">
        <v>46</v>
      </c>
      <c r="D48" s="1" t="str">
        <f>IFERROR(
  VLOOKUP(C48, category_map!A:B, 2, FALSE),
  C48
)
</f>
        <v>Rau củ</v>
      </c>
      <c r="E48" s="1">
        <v>31.0</v>
      </c>
      <c r="F48" s="2">
        <v>46235.0</v>
      </c>
      <c r="G48" s="3">
        <v>7.0</v>
      </c>
      <c r="H48" s="3" t="s">
        <v>55</v>
      </c>
      <c r="I48" s="4">
        <v>46205.0</v>
      </c>
      <c r="J48" s="3">
        <v>46084.0</v>
      </c>
      <c r="K48" s="1">
        <v>6.0</v>
      </c>
      <c r="L48" s="1">
        <v>0.0</v>
      </c>
      <c r="M48" s="1" t="s">
        <v>41</v>
      </c>
      <c r="N48" s="1">
        <v>0.0</v>
      </c>
    </row>
    <row r="49">
      <c r="A49" s="1" t="s">
        <v>142</v>
      </c>
      <c r="B49" s="1" t="s">
        <v>143</v>
      </c>
      <c r="C49" s="1" t="s">
        <v>144</v>
      </c>
      <c r="D49" s="1" t="str">
        <f>IFERROR(
  VLOOKUP(C49, category_map!A:B, 2, FALSE),
  C49
)
</f>
        <v>Tráng miệng</v>
      </c>
      <c r="E49" s="1">
        <v>220.0</v>
      </c>
      <c r="F49" s="2">
        <v>46144.0</v>
      </c>
      <c r="G49" s="3">
        <v>30.0</v>
      </c>
      <c r="H49" s="3">
        <v>11.0</v>
      </c>
      <c r="I49" s="4">
        <v>46143.0</v>
      </c>
      <c r="J49" s="3">
        <v>19.0</v>
      </c>
      <c r="K49" s="1">
        <v>160.0</v>
      </c>
      <c r="L49" s="1">
        <v>20.0</v>
      </c>
      <c r="M49" s="1" t="s">
        <v>37</v>
      </c>
      <c r="N49" s="1">
        <v>0.0</v>
      </c>
    </row>
    <row r="50">
      <c r="A50" s="1" t="s">
        <v>145</v>
      </c>
      <c r="B50" s="1" t="s">
        <v>146</v>
      </c>
      <c r="C50" s="1" t="s">
        <v>23</v>
      </c>
      <c r="D50" s="1" t="str">
        <f>IFERROR(
  VLOOKUP(C50, category_map!A:B, 2, FALSE),
  C50
)
</f>
        <v>Đồ uống</v>
      </c>
      <c r="E50" s="1">
        <v>2.0</v>
      </c>
      <c r="F50" s="2" t="s">
        <v>36</v>
      </c>
      <c r="G50" s="3">
        <v>0.0</v>
      </c>
      <c r="H50" s="3">
        <v>0.0</v>
      </c>
      <c r="I50" s="1">
        <v>0.0</v>
      </c>
      <c r="J50" s="3">
        <v>0.0</v>
      </c>
      <c r="K50" s="1">
        <v>2.0</v>
      </c>
      <c r="L50" s="1">
        <v>0.0</v>
      </c>
      <c r="M50" s="1" t="s">
        <v>17</v>
      </c>
      <c r="N50" s="1">
        <v>250.0</v>
      </c>
    </row>
    <row r="51">
      <c r="A51" s="1" t="s">
        <v>147</v>
      </c>
      <c r="B51" s="1" t="s">
        <v>148</v>
      </c>
      <c r="C51" s="1" t="s">
        <v>40</v>
      </c>
      <c r="D51" s="1" t="str">
        <f>IFERROR(
  VLOOKUP(C51, category_map!A:B, 2, FALSE),
  C51
)
</f>
        <v>Chất đạm/Cá</v>
      </c>
      <c r="E51" s="1">
        <v>84.0</v>
      </c>
      <c r="F51" s="2">
        <v>20.0</v>
      </c>
      <c r="G51" s="3" t="s">
        <v>55</v>
      </c>
      <c r="H51" s="3" t="s">
        <v>55</v>
      </c>
      <c r="I51" s="1">
        <v>0.0</v>
      </c>
      <c r="J51" s="3">
        <v>0.0</v>
      </c>
      <c r="K51" s="1">
        <v>100.0</v>
      </c>
      <c r="L51" s="1">
        <v>161.0</v>
      </c>
      <c r="M51" s="1" t="s">
        <v>41</v>
      </c>
      <c r="N51" s="1">
        <v>250.0</v>
      </c>
    </row>
    <row r="52">
      <c r="A52" s="1" t="s">
        <v>149</v>
      </c>
      <c r="B52" s="1" t="s">
        <v>150</v>
      </c>
      <c r="C52" s="1" t="s">
        <v>20</v>
      </c>
      <c r="D52" s="1" t="str">
        <f>IFERROR(
  VLOOKUP(C52, category_map!A:B, 2, FALSE),
  C52
)
</f>
        <v>Ngũ cốc</v>
      </c>
      <c r="E52" s="1">
        <v>180.0</v>
      </c>
      <c r="F52" s="2">
        <v>5.0</v>
      </c>
      <c r="G52" s="3">
        <v>30.0</v>
      </c>
      <c r="H52" s="3">
        <v>5.0</v>
      </c>
      <c r="I52" s="1">
        <v>1.0</v>
      </c>
      <c r="J52" s="3">
        <v>6.0</v>
      </c>
      <c r="K52" s="1">
        <v>450.0</v>
      </c>
      <c r="L52" s="1">
        <v>25.0</v>
      </c>
      <c r="M52" s="1" t="s">
        <v>17</v>
      </c>
      <c r="N52" s="1">
        <v>0.0</v>
      </c>
    </row>
    <row r="53">
      <c r="A53" s="1" t="s">
        <v>151</v>
      </c>
      <c r="B53" s="1" t="s">
        <v>152</v>
      </c>
      <c r="C53" s="1" t="s">
        <v>153</v>
      </c>
      <c r="D53" s="1" t="str">
        <f>IFERROR(
  VLOOKUP(C53, category_map!A:B, 2, FALSE),
  C53
)
</f>
        <v>Gia vị</v>
      </c>
      <c r="E53" s="1">
        <v>104.0</v>
      </c>
      <c r="F53" s="2">
        <v>0.0</v>
      </c>
      <c r="G53" s="3">
        <v>27.0</v>
      </c>
      <c r="H53" s="3">
        <v>0.0</v>
      </c>
      <c r="I53" s="1">
        <v>0.0</v>
      </c>
      <c r="J53" s="3">
        <v>24.0</v>
      </c>
      <c r="K53" s="1">
        <v>2.0</v>
      </c>
      <c r="L53" s="1">
        <v>0.0</v>
      </c>
      <c r="M53" s="1" t="s">
        <v>17</v>
      </c>
      <c r="N53" s="1">
        <v>0.0</v>
      </c>
    </row>
    <row r="54">
      <c r="A54" s="1" t="s">
        <v>154</v>
      </c>
      <c r="B54" s="1" t="s">
        <v>155</v>
      </c>
      <c r="C54" s="1" t="s">
        <v>99</v>
      </c>
      <c r="D54" s="1" t="str">
        <f>IFERROR(
  VLOOKUP(C54, category_map!A:B, 2, FALSE),
  C54
)
</f>
        <v>Chất đạm/Thịt</v>
      </c>
      <c r="E54" s="1">
        <v>85.0</v>
      </c>
      <c r="F54" s="2">
        <v>5.0</v>
      </c>
      <c r="G54" s="3">
        <v>1.0</v>
      </c>
      <c r="H54" s="3">
        <v>7.0</v>
      </c>
      <c r="I54" s="1">
        <v>0.0</v>
      </c>
      <c r="J54" s="3" t="s">
        <v>36</v>
      </c>
      <c r="K54" s="1">
        <v>300.0</v>
      </c>
      <c r="L54" s="1">
        <v>20.0</v>
      </c>
      <c r="M54" s="1" t="s">
        <v>17</v>
      </c>
      <c r="N54" s="1">
        <v>0.0</v>
      </c>
    </row>
    <row r="55">
      <c r="A55" s="1" t="s">
        <v>156</v>
      </c>
      <c r="B55" s="1" t="s">
        <v>157</v>
      </c>
      <c r="C55" s="1" t="s">
        <v>158</v>
      </c>
      <c r="D55" s="1" t="str">
        <f>IFERROR(
  VLOOKUP(C55, category_map!A:B, 2, FALSE),
  C55
)
</f>
        <v>Đồ uống/Bữa ăn</v>
      </c>
      <c r="E55" s="1">
        <v>280.0</v>
      </c>
      <c r="F55" s="2">
        <v>12.0</v>
      </c>
      <c r="G55" s="3">
        <v>55.0</v>
      </c>
      <c r="H55" s="3">
        <v>3.0</v>
      </c>
      <c r="I55" s="1">
        <v>7.0</v>
      </c>
      <c r="J55" s="3">
        <v>40.0</v>
      </c>
      <c r="K55" s="1">
        <v>70.0</v>
      </c>
      <c r="L55" s="1">
        <v>5.0</v>
      </c>
      <c r="M55" s="1" t="s">
        <v>17</v>
      </c>
      <c r="N55" s="1">
        <v>250.0</v>
      </c>
    </row>
    <row r="56">
      <c r="A56" s="1" t="s">
        <v>159</v>
      </c>
      <c r="B56" s="1" t="s">
        <v>160</v>
      </c>
      <c r="C56" s="1" t="s">
        <v>161</v>
      </c>
      <c r="D56" s="1" t="str">
        <f>IFERROR(
  VLOOKUP(C56, category_map!A:B, 2, FALSE),
  C56
)
</f>
        <v>Chất đạm/Chay</v>
      </c>
      <c r="E56" s="1">
        <v>90.0</v>
      </c>
      <c r="F56" s="2">
        <v>10.0</v>
      </c>
      <c r="G56" s="3">
        <v>3.0</v>
      </c>
      <c r="H56" s="3">
        <v>5.0</v>
      </c>
      <c r="I56" s="1">
        <v>2.0</v>
      </c>
      <c r="J56" s="3">
        <v>1.0</v>
      </c>
      <c r="K56" s="1">
        <v>10.0</v>
      </c>
      <c r="L56" s="1">
        <v>0.0</v>
      </c>
      <c r="M56" s="1" t="s">
        <v>33</v>
      </c>
      <c r="N56" s="1">
        <v>0.0</v>
      </c>
    </row>
    <row r="57">
      <c r="A57" s="1" t="s">
        <v>162</v>
      </c>
      <c r="B57" s="1" t="s">
        <v>163</v>
      </c>
      <c r="C57" s="1" t="s">
        <v>20</v>
      </c>
      <c r="D57" s="1" t="str">
        <f>IFERROR(
  VLOOKUP(C57, category_map!A:B, 2, FALSE),
  C57
)
</f>
        <v>Ngũ cốc</v>
      </c>
      <c r="E57" s="1">
        <v>215.0</v>
      </c>
      <c r="F57" s="2">
        <v>5.0</v>
      </c>
      <c r="G57" s="3">
        <v>45.0</v>
      </c>
      <c r="H57" s="3">
        <v>46235.0</v>
      </c>
      <c r="I57" s="4">
        <v>46145.0</v>
      </c>
      <c r="J57" s="3" t="s">
        <v>29</v>
      </c>
      <c r="K57" s="1">
        <v>10.0</v>
      </c>
      <c r="L57" s="1">
        <v>0.0</v>
      </c>
      <c r="M57" s="1" t="s">
        <v>33</v>
      </c>
      <c r="N57" s="1">
        <v>0.0</v>
      </c>
    </row>
    <row r="58">
      <c r="A58" s="1" t="s">
        <v>164</v>
      </c>
      <c r="B58" s="1" t="s">
        <v>165</v>
      </c>
      <c r="C58" s="1" t="s">
        <v>46</v>
      </c>
      <c r="D58" s="1" t="str">
        <f>IFERROR(
  VLOOKUP(C58, category_map!A:B, 2, FALSE),
  C58
)
</f>
        <v>Rau củ</v>
      </c>
      <c r="E58" s="1">
        <v>31.0</v>
      </c>
      <c r="F58" s="2">
        <v>46054.0</v>
      </c>
      <c r="G58" s="3">
        <v>6.0</v>
      </c>
      <c r="H58" s="3" t="s">
        <v>24</v>
      </c>
      <c r="I58" s="4">
        <v>46024.0</v>
      </c>
      <c r="J58" s="3">
        <v>46057.0</v>
      </c>
      <c r="K58" s="1">
        <v>4.0</v>
      </c>
      <c r="L58" s="1">
        <v>0.0</v>
      </c>
      <c r="M58" s="1" t="s">
        <v>33</v>
      </c>
      <c r="N58" s="1">
        <v>0.0</v>
      </c>
    </row>
    <row r="59">
      <c r="A59" s="1" t="s">
        <v>166</v>
      </c>
      <c r="B59" s="1" t="s">
        <v>167</v>
      </c>
      <c r="C59" s="1" t="s">
        <v>128</v>
      </c>
      <c r="D59" s="1" t="str">
        <f>IFERROR(
  VLOOKUP(C59, category_map!A:B, 2, FALSE),
  C59
)
</f>
        <v>Đậu</v>
      </c>
      <c r="E59" s="1">
        <v>70.0</v>
      </c>
      <c r="F59" s="2">
        <v>2.0</v>
      </c>
      <c r="G59" s="3">
        <v>4.0</v>
      </c>
      <c r="H59" s="3">
        <v>5.0</v>
      </c>
      <c r="I59" s="1">
        <v>2.0</v>
      </c>
      <c r="J59" s="3">
        <v>0.0</v>
      </c>
      <c r="K59" s="1">
        <v>130.0</v>
      </c>
      <c r="L59" s="1">
        <v>0.0</v>
      </c>
      <c r="M59" s="1" t="s">
        <v>37</v>
      </c>
      <c r="N59" s="1">
        <v>0.0</v>
      </c>
    </row>
    <row r="60">
      <c r="A60" s="1" t="s">
        <v>168</v>
      </c>
      <c r="B60" s="1" t="s">
        <v>169</v>
      </c>
      <c r="C60" s="1" t="s">
        <v>20</v>
      </c>
      <c r="D60" s="1" t="str">
        <f>IFERROR(
  VLOOKUP(C60, category_map!A:B, 2, FALSE),
  C60
)
</f>
        <v>Ngũ cốc</v>
      </c>
      <c r="E60" s="1">
        <v>170.0</v>
      </c>
      <c r="F60" s="2">
        <v>6.0</v>
      </c>
      <c r="G60" s="3">
        <v>35.0</v>
      </c>
      <c r="H60" s="3">
        <v>46143.0</v>
      </c>
      <c r="I60" s="1">
        <v>5.0</v>
      </c>
      <c r="J60" s="3">
        <v>2.0</v>
      </c>
      <c r="K60" s="1">
        <v>320.0</v>
      </c>
      <c r="L60" s="1">
        <v>0.0</v>
      </c>
      <c r="M60" s="1" t="s">
        <v>37</v>
      </c>
      <c r="N60" s="1">
        <v>0.0</v>
      </c>
    </row>
    <row r="61">
      <c r="A61" s="1" t="s">
        <v>170</v>
      </c>
      <c r="B61" s="1" t="s">
        <v>171</v>
      </c>
      <c r="C61" s="1" t="s">
        <v>99</v>
      </c>
      <c r="D61" s="1" t="str">
        <f>IFERROR(
  VLOOKUP(C61, category_map!A:B, 2, FALSE),
  C61
)
</f>
        <v>Chất đạm/Thịt</v>
      </c>
      <c r="E61" s="1">
        <v>220.0</v>
      </c>
      <c r="F61" s="2">
        <v>30.0</v>
      </c>
      <c r="G61" s="3">
        <v>0.0</v>
      </c>
      <c r="H61" s="3">
        <v>10.0</v>
      </c>
      <c r="I61" s="1">
        <v>0.0</v>
      </c>
      <c r="J61" s="3">
        <v>0.0</v>
      </c>
      <c r="K61" s="1">
        <v>70.0</v>
      </c>
      <c r="L61" s="1">
        <v>85.0</v>
      </c>
      <c r="M61" s="1" t="s">
        <v>41</v>
      </c>
      <c r="N61" s="1">
        <v>250.0</v>
      </c>
    </row>
    <row r="62">
      <c r="A62" s="1" t="s">
        <v>172</v>
      </c>
      <c r="B62" s="1" t="s">
        <v>173</v>
      </c>
      <c r="C62" s="1" t="s">
        <v>46</v>
      </c>
      <c r="D62" s="1" t="str">
        <f>IFERROR(
  VLOOKUP(C62, category_map!A:B, 2, FALSE),
  C62
)
</f>
        <v>Rau củ</v>
      </c>
      <c r="E62" s="1">
        <v>230.0</v>
      </c>
      <c r="F62" s="2">
        <v>4.0</v>
      </c>
      <c r="G62" s="3">
        <v>35.0</v>
      </c>
      <c r="H62" s="3">
        <v>8.0</v>
      </c>
      <c r="I62" s="1">
        <v>3.0</v>
      </c>
      <c r="J62" s="3">
        <v>2.0</v>
      </c>
      <c r="K62" s="1">
        <v>350.0</v>
      </c>
      <c r="L62" s="1">
        <v>15.0</v>
      </c>
      <c r="M62" s="1" t="s">
        <v>41</v>
      </c>
      <c r="N62" s="1">
        <v>0.0</v>
      </c>
    </row>
    <row r="63">
      <c r="A63" s="1" t="s">
        <v>174</v>
      </c>
      <c r="B63" s="1" t="s">
        <v>175</v>
      </c>
      <c r="C63" s="1" t="s">
        <v>46</v>
      </c>
      <c r="D63" s="1" t="str">
        <f>IFERROR(
  VLOOKUP(C63, category_map!A:B, 2, FALSE),
  C63
)
</f>
        <v>Rau củ</v>
      </c>
      <c r="E63" s="1">
        <v>132.0</v>
      </c>
      <c r="F63" s="2">
        <v>46207.0</v>
      </c>
      <c r="G63" s="3">
        <v>30.0</v>
      </c>
      <c r="H63" s="3">
        <v>46235.0</v>
      </c>
      <c r="I63" s="4">
        <v>46176.0</v>
      </c>
      <c r="J63" s="3">
        <v>46273.0</v>
      </c>
      <c r="K63" s="1">
        <v>2.0</v>
      </c>
      <c r="L63" s="1">
        <v>0.0</v>
      </c>
      <c r="M63" s="1" t="s">
        <v>41</v>
      </c>
      <c r="N63" s="1">
        <v>0.0</v>
      </c>
    </row>
    <row r="64">
      <c r="A64" s="1" t="s">
        <v>176</v>
      </c>
      <c r="B64" s="1" t="s">
        <v>177</v>
      </c>
      <c r="C64" s="1" t="s">
        <v>23</v>
      </c>
      <c r="D64" s="1" t="str">
        <f>IFERROR(
  VLOOKUP(C64, category_map!A:B, 2, FALSE),
  C64
)
</f>
        <v>Đồ uống</v>
      </c>
      <c r="E64" s="1">
        <v>140.0</v>
      </c>
      <c r="F64" s="2">
        <v>0.0</v>
      </c>
      <c r="G64" s="3">
        <v>39.0</v>
      </c>
      <c r="H64" s="3">
        <v>0.0</v>
      </c>
      <c r="I64" s="1">
        <v>0.0</v>
      </c>
      <c r="J64" s="3">
        <v>39.0</v>
      </c>
      <c r="K64" s="1">
        <v>45.0</v>
      </c>
      <c r="L64" s="1">
        <v>0.0</v>
      </c>
      <c r="M64" s="1" t="s">
        <v>37</v>
      </c>
      <c r="N64" s="1">
        <v>355.0</v>
      </c>
    </row>
    <row r="65">
      <c r="A65" s="1" t="s">
        <v>178</v>
      </c>
      <c r="B65" s="1" t="s">
        <v>179</v>
      </c>
      <c r="C65" s="1" t="s">
        <v>74</v>
      </c>
      <c r="D65" s="1" t="str">
        <f>IFERROR(
  VLOOKUP(C65, category_map!A:B, 2, FALSE),
  C65
)
</f>
        <v>Ngũ cốc/Chế biến</v>
      </c>
      <c r="E65" s="1">
        <v>110.0</v>
      </c>
      <c r="F65" s="2">
        <v>3.0</v>
      </c>
      <c r="G65" s="3">
        <v>23.0</v>
      </c>
      <c r="H65" s="3">
        <v>1.0</v>
      </c>
      <c r="I65" s="1">
        <v>1.0</v>
      </c>
      <c r="J65" s="3">
        <v>1.0</v>
      </c>
      <c r="K65" s="1">
        <v>450.0</v>
      </c>
      <c r="L65" s="1">
        <v>0.0</v>
      </c>
      <c r="M65" s="1" t="s">
        <v>37</v>
      </c>
      <c r="N65" s="1">
        <v>0.0</v>
      </c>
    </row>
    <row r="66">
      <c r="A66" s="1" t="s">
        <v>180</v>
      </c>
      <c r="B66" s="1" t="s">
        <v>181</v>
      </c>
      <c r="C66" s="1" t="s">
        <v>50</v>
      </c>
      <c r="D66" s="1" t="str">
        <f>IFERROR(
  VLOOKUP(C66, category_map!A:B, 2, FALSE),
  C66
)
</f>
        <v>Sản phẩm từ sữa</v>
      </c>
      <c r="E66" s="1">
        <v>115.0</v>
      </c>
      <c r="F66" s="2">
        <v>7.0</v>
      </c>
      <c r="G66" s="3">
        <v>1.0</v>
      </c>
      <c r="H66" s="3">
        <v>46151.0</v>
      </c>
      <c r="I66" s="1">
        <v>0.0</v>
      </c>
      <c r="J66" s="3" t="s">
        <v>36</v>
      </c>
      <c r="K66" s="1">
        <v>180.0</v>
      </c>
      <c r="L66" s="1">
        <v>30.0</v>
      </c>
      <c r="M66" s="1" t="s">
        <v>37</v>
      </c>
      <c r="N66" s="1">
        <v>0.0</v>
      </c>
    </row>
    <row r="67">
      <c r="A67" s="1" t="s">
        <v>182</v>
      </c>
      <c r="B67" s="1" t="s">
        <v>183</v>
      </c>
      <c r="C67" s="1" t="s">
        <v>32</v>
      </c>
      <c r="D67" s="1" t="str">
        <f>IFERROR(
  VLOOKUP(C67, category_map!A:B, 2, FALSE),
  C67
)
</f>
        <v>Bữa ăn/Chất đạm</v>
      </c>
      <c r="E67" s="1">
        <v>470.0</v>
      </c>
      <c r="F67" s="2">
        <v>30.0</v>
      </c>
      <c r="G67" s="3">
        <v>15.0</v>
      </c>
      <c r="H67" s="3">
        <v>30.0</v>
      </c>
      <c r="I67" s="1">
        <v>3.0</v>
      </c>
      <c r="J67" s="3">
        <v>3.0</v>
      </c>
      <c r="K67" s="1">
        <v>890.0</v>
      </c>
      <c r="L67" s="1">
        <v>75.0</v>
      </c>
      <c r="M67" s="1" t="s">
        <v>33</v>
      </c>
      <c r="N67" s="1">
        <v>250.0</v>
      </c>
    </row>
    <row r="68">
      <c r="A68" s="1" t="s">
        <v>184</v>
      </c>
      <c r="B68" s="1" t="s">
        <v>185</v>
      </c>
      <c r="C68" s="1" t="s">
        <v>23</v>
      </c>
      <c r="D68" s="1" t="str">
        <f>IFERROR(
  VLOOKUP(C68, category_map!A:B, 2, FALSE),
  C68
)
</f>
        <v>Đồ uống</v>
      </c>
      <c r="E68" s="1">
        <v>112.0</v>
      </c>
      <c r="F68" s="2">
        <v>46204.0</v>
      </c>
      <c r="G68" s="3">
        <v>46259.0</v>
      </c>
      <c r="H68" s="3" t="s">
        <v>36</v>
      </c>
      <c r="I68" s="1" t="s">
        <v>186</v>
      </c>
      <c r="J68" s="3">
        <v>46254.0</v>
      </c>
      <c r="K68" s="1">
        <v>2.0</v>
      </c>
      <c r="L68" s="1">
        <v>0.0</v>
      </c>
      <c r="M68" s="1" t="s">
        <v>17</v>
      </c>
      <c r="N68" s="1">
        <v>240.0</v>
      </c>
    </row>
    <row r="69">
      <c r="A69" s="1" t="s">
        <v>187</v>
      </c>
      <c r="B69" s="1" t="s">
        <v>188</v>
      </c>
      <c r="C69" s="1" t="s">
        <v>99</v>
      </c>
      <c r="D69" s="1" t="str">
        <f>IFERROR(
  VLOOKUP(C69, category_map!A:B, 2, FALSE),
  C69
)
</f>
        <v>Chất đạm/Thịt</v>
      </c>
      <c r="E69" s="1">
        <v>86.0</v>
      </c>
      <c r="F69" s="2">
        <v>6.0</v>
      </c>
      <c r="G69" s="3" t="s">
        <v>55</v>
      </c>
      <c r="H69" s="3">
        <v>46240.0</v>
      </c>
      <c r="I69" s="1">
        <v>0.0</v>
      </c>
      <c r="J69" s="3" t="s">
        <v>25</v>
      </c>
      <c r="K69" s="1">
        <v>330.0</v>
      </c>
      <c r="L69" s="1">
        <v>18.0</v>
      </c>
      <c r="M69" s="1" t="s">
        <v>17</v>
      </c>
      <c r="N69" s="1">
        <v>0.0</v>
      </c>
    </row>
    <row r="70">
      <c r="A70" s="1" t="s">
        <v>189</v>
      </c>
      <c r="B70" s="1" t="s">
        <v>190</v>
      </c>
      <c r="C70" s="1" t="s">
        <v>20</v>
      </c>
      <c r="D70" s="1" t="str">
        <f>IFERROR(
  VLOOKUP(C70, category_map!A:B, 2, FALSE),
  C70
)
</f>
        <v>Ngũ cốc</v>
      </c>
      <c r="E70" s="1">
        <v>220.0</v>
      </c>
      <c r="F70" s="2">
        <v>6.0</v>
      </c>
      <c r="G70" s="3">
        <v>28.0</v>
      </c>
      <c r="H70" s="3">
        <v>9.0</v>
      </c>
      <c r="I70" s="4">
        <v>46143.0</v>
      </c>
      <c r="J70" s="3">
        <v>3.0</v>
      </c>
      <c r="K70" s="1">
        <v>420.0</v>
      </c>
      <c r="L70" s="1">
        <v>45.0</v>
      </c>
      <c r="M70" s="1" t="s">
        <v>17</v>
      </c>
      <c r="N70" s="1">
        <v>0.0</v>
      </c>
    </row>
    <row r="71">
      <c r="A71" s="1" t="s">
        <v>191</v>
      </c>
      <c r="B71" s="1" t="s">
        <v>192</v>
      </c>
      <c r="C71" s="1" t="s">
        <v>28</v>
      </c>
      <c r="D71" s="1" t="str">
        <f>IFERROR(
  VLOOKUP(C71, category_map!A:B, 2, FALSE),
  C71
)
</f>
        <v>Trái cây</v>
      </c>
      <c r="E71" s="1">
        <v>101.0</v>
      </c>
      <c r="F71" s="2" t="s">
        <v>47</v>
      </c>
      <c r="G71" s="3">
        <v>27.0</v>
      </c>
      <c r="H71" s="3" t="s">
        <v>55</v>
      </c>
      <c r="I71" s="4">
        <v>46147.0</v>
      </c>
      <c r="J71" s="3">
        <v>16.0</v>
      </c>
      <c r="K71" s="1">
        <v>2.0</v>
      </c>
      <c r="L71" s="1">
        <v>0.0</v>
      </c>
      <c r="M71" s="1" t="s">
        <v>37</v>
      </c>
      <c r="N71" s="1">
        <v>0.0</v>
      </c>
    </row>
    <row r="72">
      <c r="A72" s="1" t="s">
        <v>193</v>
      </c>
      <c r="B72" s="1" t="s">
        <v>194</v>
      </c>
      <c r="C72" s="1" t="s">
        <v>99</v>
      </c>
      <c r="D72" s="1" t="str">
        <f>IFERROR(
  VLOOKUP(C72, category_map!A:B, 2, FALSE),
  C72
)
</f>
        <v>Chất đạm/Thịt</v>
      </c>
      <c r="E72" s="1">
        <v>185.0</v>
      </c>
      <c r="F72" s="2">
        <v>35.0</v>
      </c>
      <c r="G72" s="3">
        <v>0.0</v>
      </c>
      <c r="H72" s="3">
        <v>4.0</v>
      </c>
      <c r="I72" s="1">
        <v>0.0</v>
      </c>
      <c r="J72" s="3">
        <v>0.0</v>
      </c>
      <c r="K72" s="1">
        <v>80.0</v>
      </c>
      <c r="L72" s="1">
        <v>95.0</v>
      </c>
      <c r="M72" s="1" t="s">
        <v>33</v>
      </c>
      <c r="N72" s="1">
        <v>500.0</v>
      </c>
    </row>
    <row r="73">
      <c r="A73" s="1" t="s">
        <v>195</v>
      </c>
      <c r="B73" s="1" t="s">
        <v>196</v>
      </c>
      <c r="C73" s="1" t="s">
        <v>58</v>
      </c>
      <c r="D73" s="1" t="str">
        <f>IFERROR(
  VLOOKUP(C73, category_map!A:B, 2, FALSE),
  C73
)
</f>
        <v>Hạt</v>
      </c>
      <c r="E73" s="1">
        <v>200.0</v>
      </c>
      <c r="F73" s="2">
        <v>6.0</v>
      </c>
      <c r="G73" s="3">
        <v>8.0</v>
      </c>
      <c r="H73" s="3">
        <v>18.0</v>
      </c>
      <c r="I73" s="1">
        <v>3.0</v>
      </c>
      <c r="J73" s="3">
        <v>2.0</v>
      </c>
      <c r="K73" s="1">
        <v>1.0</v>
      </c>
      <c r="L73" s="1">
        <v>0.0</v>
      </c>
      <c r="M73" s="1" t="s">
        <v>37</v>
      </c>
      <c r="N73" s="1">
        <v>0.0</v>
      </c>
    </row>
    <row r="74">
      <c r="A74" s="1" t="s">
        <v>197</v>
      </c>
      <c r="B74" s="1" t="s">
        <v>198</v>
      </c>
      <c r="C74" s="1" t="s">
        <v>40</v>
      </c>
      <c r="D74" s="1" t="str">
        <f>IFERROR(
  VLOOKUP(C74, category_map!A:B, 2, FALSE),
  C74
)
</f>
        <v>Chất đạm/Cá</v>
      </c>
      <c r="E74" s="1">
        <v>110.0</v>
      </c>
      <c r="F74" s="2">
        <v>22.0</v>
      </c>
      <c r="G74" s="3">
        <v>0.0</v>
      </c>
      <c r="H74" s="3">
        <v>46144.0</v>
      </c>
      <c r="I74" s="1">
        <v>0.0</v>
      </c>
      <c r="J74" s="3">
        <v>0.0</v>
      </c>
      <c r="K74" s="1">
        <v>50.0</v>
      </c>
      <c r="L74" s="1">
        <v>50.0</v>
      </c>
      <c r="M74" s="1" t="s">
        <v>41</v>
      </c>
      <c r="N74" s="1">
        <v>0.0</v>
      </c>
    </row>
    <row r="75">
      <c r="A75" s="1" t="s">
        <v>199</v>
      </c>
      <c r="B75" s="1" t="s">
        <v>200</v>
      </c>
      <c r="C75" s="1" t="s">
        <v>46</v>
      </c>
      <c r="D75" s="1" t="str">
        <f>IFERROR(
  VLOOKUP(C75, category_map!A:B, 2, FALSE),
  C75
)
</f>
        <v>Rau củ</v>
      </c>
      <c r="E75" s="1">
        <v>40.0</v>
      </c>
      <c r="F75" s="2">
        <v>46085.0</v>
      </c>
      <c r="G75" s="3">
        <v>46119.0</v>
      </c>
      <c r="H75" s="3" t="s">
        <v>29</v>
      </c>
      <c r="I75" s="4">
        <v>46176.0</v>
      </c>
      <c r="J75" s="3">
        <v>46145.0</v>
      </c>
      <c r="K75" s="1">
        <v>4.0</v>
      </c>
      <c r="L75" s="1">
        <v>0.0</v>
      </c>
      <c r="M75" s="1" t="s">
        <v>41</v>
      </c>
      <c r="N75" s="1">
        <v>0.0</v>
      </c>
    </row>
    <row r="76">
      <c r="A76" s="1" t="s">
        <v>201</v>
      </c>
      <c r="B76" s="1" t="s">
        <v>202</v>
      </c>
      <c r="C76" s="1" t="s">
        <v>46</v>
      </c>
      <c r="D76" s="1" t="str">
        <f>IFERROR(
  VLOOKUP(C76, category_map!A:B, 2, FALSE),
  C76
)
</f>
        <v>Rau củ</v>
      </c>
      <c r="E76" s="1">
        <v>103.0</v>
      </c>
      <c r="F76" s="2">
        <v>46083.0</v>
      </c>
      <c r="G76" s="3">
        <v>46196.0</v>
      </c>
      <c r="H76" s="3" t="s">
        <v>55</v>
      </c>
      <c r="I76" s="4">
        <v>46237.0</v>
      </c>
      <c r="J76" s="3">
        <v>46119.0</v>
      </c>
      <c r="K76" s="1">
        <v>41.0</v>
      </c>
      <c r="L76" s="1">
        <v>0.0</v>
      </c>
      <c r="M76" s="1" t="s">
        <v>41</v>
      </c>
      <c r="N76" s="1">
        <v>0.0</v>
      </c>
    </row>
    <row r="77">
      <c r="A77" s="1" t="s">
        <v>203</v>
      </c>
      <c r="B77" s="1" t="s">
        <v>204</v>
      </c>
      <c r="C77" s="1" t="s">
        <v>20</v>
      </c>
      <c r="D77" s="1" t="str">
        <f>IFERROR(
  VLOOKUP(C77, category_map!A:B, 2, FALSE),
  C77
)
</f>
        <v>Ngũ cốc</v>
      </c>
      <c r="E77" s="1">
        <v>93.0</v>
      </c>
      <c r="F77" s="2">
        <v>3.0</v>
      </c>
      <c r="G77" s="3">
        <v>46191.0</v>
      </c>
      <c r="H77" s="3">
        <v>46023.0</v>
      </c>
      <c r="I77" s="4">
        <v>46176.0</v>
      </c>
      <c r="J77" s="3" t="s">
        <v>25</v>
      </c>
      <c r="K77" s="1">
        <v>2.0</v>
      </c>
      <c r="L77" s="1">
        <v>0.0</v>
      </c>
      <c r="M77" s="1" t="s">
        <v>37</v>
      </c>
      <c r="N77" s="1">
        <v>250.0</v>
      </c>
    </row>
    <row r="78">
      <c r="A78" s="1" t="s">
        <v>205</v>
      </c>
      <c r="B78" s="1" t="s">
        <v>206</v>
      </c>
      <c r="C78" s="1" t="s">
        <v>28</v>
      </c>
      <c r="D78" s="1" t="str">
        <f>IFERROR(
  VLOOKUP(C78, category_map!A:B, 2, FALSE),
  C78
)
</f>
        <v>Trái cây</v>
      </c>
      <c r="E78" s="1">
        <v>130.0</v>
      </c>
      <c r="F78" s="2">
        <v>46082.0</v>
      </c>
      <c r="G78" s="3">
        <v>34.0</v>
      </c>
      <c r="H78" s="3" t="s">
        <v>55</v>
      </c>
      <c r="I78" s="4">
        <v>46174.0</v>
      </c>
      <c r="J78" s="3">
        <v>25.0</v>
      </c>
      <c r="K78" s="1">
        <v>5.0</v>
      </c>
      <c r="L78" s="1">
        <v>0.0</v>
      </c>
      <c r="M78" s="1" t="s">
        <v>37</v>
      </c>
      <c r="N78" s="1">
        <v>0.0</v>
      </c>
    </row>
    <row r="79">
      <c r="A79" s="1" t="s">
        <v>207</v>
      </c>
      <c r="B79" s="1" t="s">
        <v>208</v>
      </c>
      <c r="C79" s="1" t="s">
        <v>66</v>
      </c>
      <c r="D79" s="1" t="str">
        <f>IFERROR(
  VLOOKUP(C79, category_map!A:B, 2, FALSE),
  C79
)
</f>
        <v>Bữa ăn/Mì ống</v>
      </c>
      <c r="E79" s="1">
        <v>350.0</v>
      </c>
      <c r="F79" s="2">
        <v>10.0</v>
      </c>
      <c r="G79" s="3">
        <v>40.0</v>
      </c>
      <c r="H79" s="3">
        <v>17.0</v>
      </c>
      <c r="I79" s="1">
        <v>2.0</v>
      </c>
      <c r="J79" s="3">
        <v>5.0</v>
      </c>
      <c r="K79" s="1">
        <v>750.0</v>
      </c>
      <c r="L79" s="1">
        <v>40.0</v>
      </c>
      <c r="M79" s="1" t="s">
        <v>33</v>
      </c>
      <c r="N79" s="1">
        <v>250.0</v>
      </c>
    </row>
    <row r="80">
      <c r="A80" s="1" t="s">
        <v>209</v>
      </c>
      <c r="B80" s="1" t="s">
        <v>210</v>
      </c>
      <c r="C80" s="1" t="s">
        <v>211</v>
      </c>
      <c r="D80" s="1" t="str">
        <f>IFERROR(
  VLOOKUP(C80, category_map!A:B, 2, FALSE),
  C80
)
</f>
        <v>Bữa ăn/Rau củ</v>
      </c>
      <c r="E80" s="1">
        <v>170.0</v>
      </c>
      <c r="F80" s="2">
        <v>4.0</v>
      </c>
      <c r="G80" s="3">
        <v>25.0</v>
      </c>
      <c r="H80" s="3">
        <v>6.0</v>
      </c>
      <c r="I80" s="1">
        <v>4.0</v>
      </c>
      <c r="J80" s="3">
        <v>15.0</v>
      </c>
      <c r="K80" s="1">
        <v>900.0</v>
      </c>
      <c r="L80" s="1">
        <v>10.0</v>
      </c>
      <c r="M80" s="1" t="s">
        <v>33</v>
      </c>
      <c r="N80" s="1">
        <v>0.0</v>
      </c>
    </row>
    <row r="81">
      <c r="A81" s="1" t="s">
        <v>212</v>
      </c>
      <c r="B81" s="1" t="s">
        <v>213</v>
      </c>
      <c r="C81" s="1" t="s">
        <v>61</v>
      </c>
      <c r="D81" s="1" t="str">
        <f>IFERROR(
  VLOOKUP(C81, category_map!A:B, 2, FALSE),
  C81
)
</f>
        <v>Bữa ăn/Chế biến</v>
      </c>
      <c r="E81" s="1">
        <v>390.0</v>
      </c>
      <c r="F81" s="2">
        <v>15.0</v>
      </c>
      <c r="G81" s="3">
        <v>32.0</v>
      </c>
      <c r="H81" s="3">
        <v>22.0</v>
      </c>
      <c r="I81" s="1">
        <v>3.0</v>
      </c>
      <c r="J81" s="3">
        <v>4.0</v>
      </c>
      <c r="K81" s="1">
        <v>800.0</v>
      </c>
      <c r="L81" s="1">
        <v>60.0</v>
      </c>
      <c r="M81" s="1" t="s">
        <v>33</v>
      </c>
      <c r="N81" s="1">
        <v>0.0</v>
      </c>
    </row>
    <row r="82">
      <c r="A82" s="1" t="s">
        <v>214</v>
      </c>
      <c r="B82" s="1" t="s">
        <v>215</v>
      </c>
      <c r="C82" s="1" t="s">
        <v>216</v>
      </c>
      <c r="D82" s="1" t="str">
        <f>IFERROR(
  VLOOKUP(C82, category_map!A:B, 2, FALSE),
  C82
)
</f>
        <v>Bữa ăn/Thịt</v>
      </c>
      <c r="E82" s="1">
        <v>380.0</v>
      </c>
      <c r="F82" s="2">
        <v>18.0</v>
      </c>
      <c r="G82" s="3">
        <v>28.0</v>
      </c>
      <c r="H82" s="3">
        <v>22.0</v>
      </c>
      <c r="I82" s="1">
        <v>5.0</v>
      </c>
      <c r="J82" s="3">
        <v>3.0</v>
      </c>
      <c r="K82" s="1">
        <v>600.0</v>
      </c>
      <c r="L82" s="1">
        <v>50.0</v>
      </c>
      <c r="M82" s="1" t="s">
        <v>41</v>
      </c>
      <c r="N82" s="1">
        <v>500.0</v>
      </c>
    </row>
    <row r="83">
      <c r="A83" s="1" t="s">
        <v>217</v>
      </c>
      <c r="B83" s="1" t="s">
        <v>218</v>
      </c>
      <c r="C83" s="1" t="s">
        <v>128</v>
      </c>
      <c r="D83" s="1" t="str">
        <f>IFERROR(
  VLOOKUP(C83, category_map!A:B, 2, FALSE),
  C83
)
</f>
        <v>Đậu</v>
      </c>
      <c r="E83" s="1">
        <v>115.0</v>
      </c>
      <c r="F83" s="2">
        <v>7.0</v>
      </c>
      <c r="G83" s="3">
        <v>19.0</v>
      </c>
      <c r="H83" s="3">
        <v>1.0</v>
      </c>
      <c r="I83" s="1">
        <v>6.0</v>
      </c>
      <c r="J83" s="3">
        <v>1.0</v>
      </c>
      <c r="K83" s="1">
        <v>480.0</v>
      </c>
      <c r="L83" s="1">
        <v>0.0</v>
      </c>
      <c r="M83" s="1" t="s">
        <v>41</v>
      </c>
      <c r="N83" s="1">
        <v>0.0</v>
      </c>
    </row>
    <row r="84">
      <c r="A84" s="1" t="s">
        <v>219</v>
      </c>
      <c r="B84" s="1" t="s">
        <v>220</v>
      </c>
      <c r="C84" s="1" t="s">
        <v>221</v>
      </c>
      <c r="D84" s="1" t="str">
        <f>IFERROR(
  VLOOKUP(C84, category_map!A:B, 2, FALSE),
  C84
)
</f>
        <v>Rau củ/Gia vị</v>
      </c>
      <c r="E84" s="1">
        <v>90.0</v>
      </c>
      <c r="F84" s="2">
        <v>1.0</v>
      </c>
      <c r="G84" s="3">
        <v>4.0</v>
      </c>
      <c r="H84" s="3">
        <v>8.0</v>
      </c>
      <c r="I84" s="1">
        <v>3.0</v>
      </c>
      <c r="J84" s="3" t="s">
        <v>36</v>
      </c>
      <c r="K84" s="1">
        <v>120.0</v>
      </c>
      <c r="L84" s="1">
        <v>0.0</v>
      </c>
      <c r="M84" s="1" t="s">
        <v>41</v>
      </c>
      <c r="N84" s="1">
        <v>0.0</v>
      </c>
    </row>
    <row r="85">
      <c r="A85" s="1" t="s">
        <v>222</v>
      </c>
      <c r="B85" s="1" t="s">
        <v>223</v>
      </c>
      <c r="C85" s="1" t="s">
        <v>28</v>
      </c>
      <c r="D85" s="1" t="str">
        <f>IFERROR(
  VLOOKUP(C85, category_map!A:B, 2, FALSE),
  C85
)
</f>
        <v>Trái cây</v>
      </c>
      <c r="E85" s="1">
        <v>46.0</v>
      </c>
      <c r="F85" s="2" t="s">
        <v>224</v>
      </c>
      <c r="G85" s="3">
        <v>46153.0</v>
      </c>
      <c r="H85" s="3" t="s">
        <v>55</v>
      </c>
      <c r="I85" s="1" t="s">
        <v>47</v>
      </c>
      <c r="J85" s="3">
        <v>46121.0</v>
      </c>
      <c r="K85" s="1">
        <v>2.0</v>
      </c>
      <c r="L85" s="1">
        <v>0.0</v>
      </c>
      <c r="M85" s="1" t="s">
        <v>37</v>
      </c>
      <c r="N85" s="1">
        <v>0.0</v>
      </c>
    </row>
    <row r="86">
      <c r="A86" s="1" t="s">
        <v>225</v>
      </c>
      <c r="B86" s="1" t="s">
        <v>226</v>
      </c>
      <c r="C86" s="1" t="s">
        <v>20</v>
      </c>
      <c r="D86" s="1" t="str">
        <f>IFERROR(
  VLOOKUP(C86, category_map!A:B, 2, FALSE),
  C86
)
</f>
        <v>Ngũ cốc</v>
      </c>
      <c r="E86" s="1">
        <v>134.0</v>
      </c>
      <c r="F86" s="2">
        <v>6.0</v>
      </c>
      <c r="G86" s="3">
        <v>26.0</v>
      </c>
      <c r="H86" s="3">
        <v>1.0</v>
      </c>
      <c r="I86" s="4">
        <v>46116.0</v>
      </c>
      <c r="J86" s="3">
        <v>1.0</v>
      </c>
      <c r="K86" s="1">
        <v>210.0</v>
      </c>
      <c r="L86" s="1">
        <v>0.0</v>
      </c>
      <c r="M86" s="1" t="s">
        <v>17</v>
      </c>
      <c r="N86" s="1">
        <v>250.0</v>
      </c>
    </row>
    <row r="87">
      <c r="A87" s="1" t="s">
        <v>227</v>
      </c>
      <c r="B87" s="1" t="s">
        <v>228</v>
      </c>
      <c r="C87" s="1" t="s">
        <v>61</v>
      </c>
      <c r="D87" s="1" t="str">
        <f>IFERROR(
  VLOOKUP(C87, category_map!A:B, 2, FALSE),
  C87
)
</f>
        <v>Bữa ăn/Chế biến</v>
      </c>
      <c r="E87" s="1">
        <v>390.0</v>
      </c>
      <c r="F87" s="2">
        <v>12.0</v>
      </c>
      <c r="G87" s="3">
        <v>50.0</v>
      </c>
      <c r="H87" s="3">
        <v>17.0</v>
      </c>
      <c r="I87" s="1">
        <v>5.0</v>
      </c>
      <c r="J87" s="3">
        <v>20.0</v>
      </c>
      <c r="K87" s="1">
        <v>450.0</v>
      </c>
      <c r="L87" s="1">
        <v>0.0</v>
      </c>
      <c r="M87" s="1" t="s">
        <v>33</v>
      </c>
      <c r="N87" s="1">
        <v>250.0</v>
      </c>
    </row>
    <row r="88">
      <c r="A88" s="1" t="s">
        <v>229</v>
      </c>
      <c r="B88" s="1" t="s">
        <v>230</v>
      </c>
      <c r="C88" s="1" t="s">
        <v>231</v>
      </c>
      <c r="D88" s="1" t="str">
        <f>IFERROR(
  VLOOKUP(C88, category_map!A:B, 2, FALSE),
  C88
)
</f>
        <v>Bữa ăn/Hải sản</v>
      </c>
      <c r="E88" s="1">
        <v>200.0</v>
      </c>
      <c r="F88" s="2">
        <v>10.0</v>
      </c>
      <c r="G88" s="3">
        <v>18.0</v>
      </c>
      <c r="H88" s="3">
        <v>9.0</v>
      </c>
      <c r="I88" s="1">
        <v>1.0</v>
      </c>
      <c r="J88" s="3">
        <v>2.0</v>
      </c>
      <c r="K88" s="1">
        <v>870.0</v>
      </c>
      <c r="L88" s="1">
        <v>30.0</v>
      </c>
      <c r="M88" s="1" t="s">
        <v>33</v>
      </c>
      <c r="N88" s="1">
        <v>0.0</v>
      </c>
    </row>
    <row r="89">
      <c r="A89" s="1" t="s">
        <v>232</v>
      </c>
      <c r="B89" s="1" t="s">
        <v>233</v>
      </c>
      <c r="C89" s="1" t="s">
        <v>23</v>
      </c>
      <c r="D89" s="1" t="str">
        <f>IFERROR(
  VLOOKUP(C89, category_map!A:B, 2, FALSE),
  C89
)
</f>
        <v>Đồ uống</v>
      </c>
      <c r="E89" s="1">
        <v>180.0</v>
      </c>
      <c r="F89" s="2">
        <v>0.0</v>
      </c>
      <c r="G89" s="3">
        <v>46.0</v>
      </c>
      <c r="H89" s="3">
        <v>0.0</v>
      </c>
      <c r="I89" s="1">
        <v>0.0</v>
      </c>
      <c r="J89" s="3">
        <v>46.0</v>
      </c>
      <c r="K89" s="1">
        <v>15.0</v>
      </c>
      <c r="L89" s="1">
        <v>0.0</v>
      </c>
      <c r="M89" s="1" t="s">
        <v>37</v>
      </c>
      <c r="N89" s="1">
        <v>500.0</v>
      </c>
    </row>
    <row r="90">
      <c r="A90" s="1" t="s">
        <v>234</v>
      </c>
      <c r="B90" s="1" t="s">
        <v>235</v>
      </c>
      <c r="C90" s="1" t="s">
        <v>66</v>
      </c>
      <c r="D90" s="1" t="str">
        <f>IFERROR(
  VLOOKUP(C90, category_map!A:B, 2, FALSE),
  C90
)
</f>
        <v>Bữa ăn/Mì ống</v>
      </c>
      <c r="E90" s="1">
        <v>350.0</v>
      </c>
      <c r="F90" s="2">
        <v>20.0</v>
      </c>
      <c r="G90" s="3">
        <v>30.0</v>
      </c>
      <c r="H90" s="3">
        <v>17.0</v>
      </c>
      <c r="I90" s="1">
        <v>4.0</v>
      </c>
      <c r="J90" s="3">
        <v>7.0</v>
      </c>
      <c r="K90" s="1">
        <v>850.0</v>
      </c>
      <c r="L90" s="1">
        <v>55.0</v>
      </c>
      <c r="M90" s="1" t="s">
        <v>41</v>
      </c>
      <c r="N90" s="1">
        <v>250.0</v>
      </c>
    </row>
    <row r="91">
      <c r="A91" s="1" t="s">
        <v>236</v>
      </c>
      <c r="B91" s="1" t="s">
        <v>237</v>
      </c>
      <c r="C91" s="1" t="s">
        <v>20</v>
      </c>
      <c r="D91" s="1" t="str">
        <f>IFERROR(
  VLOOKUP(C91, category_map!A:B, 2, FALSE),
  C91
)
</f>
        <v>Ngũ cốc</v>
      </c>
      <c r="E91" s="1">
        <v>150.0</v>
      </c>
      <c r="F91" s="2">
        <v>4.0</v>
      </c>
      <c r="G91" s="3">
        <v>18.0</v>
      </c>
      <c r="H91" s="3">
        <v>7.0</v>
      </c>
      <c r="I91" s="1">
        <v>1.0</v>
      </c>
      <c r="J91" s="3">
        <v>1.0</v>
      </c>
      <c r="K91" s="1">
        <v>310.0</v>
      </c>
      <c r="L91" s="1">
        <v>0.0</v>
      </c>
      <c r="M91" s="1" t="s">
        <v>41</v>
      </c>
      <c r="N91" s="1">
        <v>0.0</v>
      </c>
    </row>
    <row r="92">
      <c r="A92" s="1" t="s">
        <v>238</v>
      </c>
      <c r="B92" s="1" t="s">
        <v>239</v>
      </c>
      <c r="C92" s="1" t="s">
        <v>240</v>
      </c>
      <c r="D92" s="1" t="str">
        <f>IFERROR(
  VLOOKUP(C92, category_map!A:B, 2, FALSE),
  C92
)
</f>
        <v>Đồ uống/Sữa</v>
      </c>
      <c r="E92" s="1">
        <v>200.0</v>
      </c>
      <c r="F92" s="2">
        <v>8.0</v>
      </c>
      <c r="G92" s="3">
        <v>26.0</v>
      </c>
      <c r="H92" s="3">
        <v>8.0</v>
      </c>
      <c r="I92" s="1">
        <v>1.0</v>
      </c>
      <c r="J92" s="3">
        <v>24.0</v>
      </c>
      <c r="K92" s="1">
        <v>160.0</v>
      </c>
      <c r="L92" s="1">
        <v>30.0</v>
      </c>
      <c r="M92" s="1" t="s">
        <v>37</v>
      </c>
      <c r="N92" s="1">
        <v>0.0</v>
      </c>
    </row>
    <row r="93">
      <c r="A93" s="1" t="s">
        <v>241</v>
      </c>
      <c r="B93" s="1" t="s">
        <v>242</v>
      </c>
      <c r="C93" s="1" t="s">
        <v>20</v>
      </c>
      <c r="D93" s="1" t="str">
        <f>IFERROR(
  VLOOKUP(C93, category_map!A:B, 2, FALSE),
  C93
)
</f>
        <v>Ngũ cốc</v>
      </c>
      <c r="E93" s="1">
        <v>70.0</v>
      </c>
      <c r="F93" s="2">
        <v>2.0</v>
      </c>
      <c r="G93" s="3">
        <v>13.0</v>
      </c>
      <c r="H93" s="3">
        <v>1.0</v>
      </c>
      <c r="I93" s="1" t="s">
        <v>47</v>
      </c>
      <c r="J93" s="3">
        <v>46054.0</v>
      </c>
      <c r="K93" s="1">
        <v>140.0</v>
      </c>
      <c r="L93" s="1">
        <v>0.0</v>
      </c>
      <c r="M93" s="1" t="s">
        <v>17</v>
      </c>
      <c r="N93" s="1">
        <v>0.0</v>
      </c>
    </row>
    <row r="94">
      <c r="A94" s="1" t="s">
        <v>243</v>
      </c>
      <c r="B94" s="1" t="s">
        <v>244</v>
      </c>
      <c r="C94" s="1" t="s">
        <v>153</v>
      </c>
      <c r="D94" s="1" t="str">
        <f>IFERROR(
  VLOOKUP(C94, category_map!A:B, 2, FALSE),
  C94
)
</f>
        <v>Gia vị</v>
      </c>
      <c r="E94" s="1">
        <v>50.0</v>
      </c>
      <c r="F94" s="2">
        <v>0.0</v>
      </c>
      <c r="G94" s="3">
        <v>13.0</v>
      </c>
      <c r="H94" s="3">
        <v>0.0</v>
      </c>
      <c r="I94" s="1" t="s">
        <v>25</v>
      </c>
      <c r="J94" s="3">
        <v>12.0</v>
      </c>
      <c r="K94" s="1">
        <v>5.0</v>
      </c>
      <c r="L94" s="1">
        <v>0.0</v>
      </c>
      <c r="M94" s="1" t="s">
        <v>17</v>
      </c>
      <c r="N94" s="1">
        <v>0.0</v>
      </c>
    </row>
    <row r="95">
      <c r="A95" s="1" t="s">
        <v>245</v>
      </c>
      <c r="B95" s="1" t="s">
        <v>246</v>
      </c>
      <c r="C95" s="1" t="s">
        <v>161</v>
      </c>
      <c r="D95" s="1" t="str">
        <f>IFERROR(
  VLOOKUP(C95, category_map!A:B, 2, FALSE),
  C95
)
</f>
        <v>Chất đạm/Chay</v>
      </c>
      <c r="E95" s="1">
        <v>120.0</v>
      </c>
      <c r="F95" s="2">
        <v>11.0</v>
      </c>
      <c r="G95" s="3">
        <v>10.0</v>
      </c>
      <c r="H95" s="3">
        <v>4.0</v>
      </c>
      <c r="I95" s="1">
        <v>5.0</v>
      </c>
      <c r="J95" s="3">
        <v>1.0</v>
      </c>
      <c r="K95" s="1">
        <v>350.0</v>
      </c>
      <c r="L95" s="1">
        <v>0.0</v>
      </c>
      <c r="M95" s="1" t="s">
        <v>33</v>
      </c>
      <c r="N95" s="1">
        <v>250.0</v>
      </c>
    </row>
    <row r="96">
      <c r="A96" s="1" t="s">
        <v>247</v>
      </c>
      <c r="B96" s="1" t="s">
        <v>248</v>
      </c>
      <c r="C96" s="1" t="s">
        <v>20</v>
      </c>
      <c r="D96" s="1" t="str">
        <f>IFERROR(
  VLOOKUP(C96, category_map!A:B, 2, FALSE),
  C96
)
</f>
        <v>Ngũ cốc</v>
      </c>
      <c r="E96" s="1">
        <v>140.0</v>
      </c>
      <c r="F96" s="2">
        <v>4.0</v>
      </c>
      <c r="G96" s="3">
        <v>26.0</v>
      </c>
      <c r="H96" s="3">
        <v>2.0</v>
      </c>
      <c r="I96" s="1">
        <v>1.0</v>
      </c>
      <c r="J96" s="3">
        <v>4.0</v>
      </c>
      <c r="K96" s="1">
        <v>260.0</v>
      </c>
      <c r="L96" s="1">
        <v>0.0</v>
      </c>
      <c r="M96" s="1" t="s">
        <v>33</v>
      </c>
      <c r="N96" s="1">
        <v>0.0</v>
      </c>
    </row>
    <row r="97">
      <c r="A97" s="1" t="s">
        <v>249</v>
      </c>
      <c r="B97" s="1" t="s">
        <v>250</v>
      </c>
      <c r="C97" s="1" t="s">
        <v>153</v>
      </c>
      <c r="D97" s="1" t="str">
        <f>IFERROR(
  VLOOKUP(C97, category_map!A:B, 2, FALSE),
  C97
)
</f>
        <v>Gia vị</v>
      </c>
      <c r="E97" s="1">
        <v>20.0</v>
      </c>
      <c r="F97" s="2" t="s">
        <v>55</v>
      </c>
      <c r="G97" s="3">
        <v>5.0</v>
      </c>
      <c r="H97" s="3" t="s">
        <v>25</v>
      </c>
      <c r="I97" s="1" t="s">
        <v>55</v>
      </c>
      <c r="J97" s="3">
        <v>4.0</v>
      </c>
      <c r="K97" s="1">
        <v>160.0</v>
      </c>
      <c r="L97" s="1">
        <v>0.0</v>
      </c>
      <c r="M97" s="1" t="s">
        <v>33</v>
      </c>
      <c r="N97" s="1">
        <v>0.0</v>
      </c>
    </row>
    <row r="98">
      <c r="A98" s="1" t="s">
        <v>251</v>
      </c>
      <c r="B98" s="1" t="s">
        <v>252</v>
      </c>
      <c r="C98" s="1" t="s">
        <v>253</v>
      </c>
      <c r="D98" s="1" t="str">
        <f>IFERROR(
  VLOOKUP(C98, category_map!A:B, 2, FALSE),
  C98
)
</f>
        <v>Ngũ cốc/Tráng miệng</v>
      </c>
      <c r="E98" s="1">
        <v>380.0</v>
      </c>
      <c r="F98" s="2">
        <v>5.0</v>
      </c>
      <c r="G98" s="3">
        <v>55.0</v>
      </c>
      <c r="H98" s="3">
        <v>16.0</v>
      </c>
      <c r="I98" s="1">
        <v>2.0</v>
      </c>
      <c r="J98" s="3">
        <v>30.0</v>
      </c>
      <c r="K98" s="1">
        <v>350.0</v>
      </c>
      <c r="L98" s="1">
        <v>50.0</v>
      </c>
      <c r="M98" s="1" t="s">
        <v>17</v>
      </c>
      <c r="N98" s="1">
        <v>250.0</v>
      </c>
    </row>
    <row r="99">
      <c r="A99" s="1" t="s">
        <v>254</v>
      </c>
      <c r="B99" s="1" t="s">
        <v>255</v>
      </c>
      <c r="C99" s="1" t="s">
        <v>23</v>
      </c>
      <c r="D99" s="1" t="str">
        <f>IFERROR(
  VLOOKUP(C99, category_map!A:B, 2, FALSE),
  C99
)
</f>
        <v>Đồ uống</v>
      </c>
      <c r="E99" s="1">
        <v>50.0</v>
      </c>
      <c r="F99" s="2" t="s">
        <v>36</v>
      </c>
      <c r="G99" s="3">
        <v>5.0</v>
      </c>
      <c r="H99" s="3">
        <v>3.0</v>
      </c>
      <c r="I99" s="1">
        <v>0.0</v>
      </c>
      <c r="J99" s="3">
        <v>46146.0</v>
      </c>
      <c r="K99" s="1">
        <v>10.0</v>
      </c>
      <c r="L99" s="1">
        <v>10.0</v>
      </c>
      <c r="M99" s="1" t="s">
        <v>17</v>
      </c>
      <c r="N99" s="1">
        <v>250.0</v>
      </c>
    </row>
    <row r="100">
      <c r="A100" s="1" t="s">
        <v>256</v>
      </c>
      <c r="B100" s="1" t="s">
        <v>257</v>
      </c>
      <c r="C100" s="1" t="s">
        <v>258</v>
      </c>
      <c r="D100" s="1" t="str">
        <f>IFERROR(
  VLOOKUP(C100, category_map!A:B, 2, FALSE),
  C100
)
</f>
        <v>Đồ ăn nhẹ/Chế biến</v>
      </c>
      <c r="E100" s="1">
        <v>160.0</v>
      </c>
      <c r="F100" s="2">
        <v>2.0</v>
      </c>
      <c r="G100" s="3">
        <v>15.0</v>
      </c>
      <c r="H100" s="3">
        <v>10.0</v>
      </c>
      <c r="I100" s="1">
        <v>1.0</v>
      </c>
      <c r="J100" s="3" t="s">
        <v>36</v>
      </c>
      <c r="K100" s="1">
        <v>170.0</v>
      </c>
      <c r="L100" s="1">
        <v>0.0</v>
      </c>
      <c r="M100" s="1" t="s">
        <v>37</v>
      </c>
      <c r="N100" s="1">
        <v>0.0</v>
      </c>
    </row>
    <row r="101">
      <c r="A101" s="1" t="s">
        <v>259</v>
      </c>
      <c r="B101" s="1" t="s">
        <v>260</v>
      </c>
      <c r="C101" s="1" t="s">
        <v>261</v>
      </c>
      <c r="D101" s="1" t="str">
        <f>IFERROR(
  VLOOKUP(C101, category_map!A:B, 2, FALSE),
  C101
)
</f>
        <v>Gia vị/Sữa</v>
      </c>
      <c r="E101" s="1">
        <v>30.0</v>
      </c>
      <c r="F101" s="2">
        <v>46143.0</v>
      </c>
      <c r="G101" s="3">
        <v>2.0</v>
      </c>
      <c r="H101" s="3">
        <v>2.0</v>
      </c>
      <c r="I101" s="1">
        <v>0.0</v>
      </c>
      <c r="J101" s="3">
        <v>46143.0</v>
      </c>
      <c r="K101" s="1">
        <v>100.0</v>
      </c>
      <c r="L101" s="1">
        <v>5.0</v>
      </c>
      <c r="M101" s="1" t="s">
        <v>41</v>
      </c>
      <c r="N101" s="1">
        <v>0.0</v>
      </c>
    </row>
    <row r="102">
      <c r="A102" s="1" t="s">
        <v>262</v>
      </c>
      <c r="B102" s="1" t="s">
        <v>263</v>
      </c>
      <c r="C102" s="1" t="s">
        <v>264</v>
      </c>
      <c r="D102" s="1" t="str">
        <f>IFERROR(
  VLOOKUP(C102, category_map!A:B, 2, FALSE),
  C102
)
</f>
        <v>Chất đạm/Hải sản</v>
      </c>
      <c r="E102" s="1">
        <v>95.0</v>
      </c>
      <c r="F102" s="2">
        <v>17.0</v>
      </c>
      <c r="G102" s="3">
        <v>5.0</v>
      </c>
      <c r="H102" s="3">
        <v>1.0</v>
      </c>
      <c r="I102" s="1">
        <v>0.0</v>
      </c>
      <c r="J102" s="3">
        <v>0.0</v>
      </c>
      <c r="K102" s="1">
        <v>180.0</v>
      </c>
      <c r="L102" s="1">
        <v>35.0</v>
      </c>
      <c r="M102" s="1" t="s">
        <v>41</v>
      </c>
      <c r="N102" s="1">
        <v>0.0</v>
      </c>
    </row>
    <row r="103">
      <c r="A103" s="1" t="s">
        <v>265</v>
      </c>
      <c r="B103" s="1" t="s">
        <v>266</v>
      </c>
      <c r="C103" s="1" t="s">
        <v>267</v>
      </c>
      <c r="D103" s="1" t="str">
        <f>IFERROR(
  VLOOKUP(C103, category_map!A:B, 2, FALSE),
  C103
)
</f>
        <v>Bữa ăn/Ngũ cốc</v>
      </c>
      <c r="E103" s="1">
        <v>250.0</v>
      </c>
      <c r="F103" s="2">
        <v>7.0</v>
      </c>
      <c r="G103" s="3">
        <v>35.0</v>
      </c>
      <c r="H103" s="3">
        <v>9.0</v>
      </c>
      <c r="I103" s="1">
        <v>3.0</v>
      </c>
      <c r="J103" s="3">
        <v>3.0</v>
      </c>
      <c r="K103" s="1">
        <v>600.0</v>
      </c>
      <c r="L103" s="1">
        <v>20.0</v>
      </c>
      <c r="M103" s="1" t="s">
        <v>41</v>
      </c>
      <c r="N103" s="1">
        <v>0.0</v>
      </c>
    </row>
    <row r="104">
      <c r="A104" s="1" t="s">
        <v>268</v>
      </c>
      <c r="B104" s="1" t="s">
        <v>269</v>
      </c>
      <c r="C104" s="1" t="s">
        <v>211</v>
      </c>
      <c r="D104" s="1" t="str">
        <f>IFERROR(
  VLOOKUP(C104, category_map!A:B, 2, FALSE),
  C104
)
</f>
        <v>Bữa ăn/Rau củ</v>
      </c>
      <c r="E104" s="1">
        <v>240.0</v>
      </c>
      <c r="F104" s="2">
        <v>10.0</v>
      </c>
      <c r="G104" s="3">
        <v>8.0</v>
      </c>
      <c r="H104" s="3">
        <v>18.0</v>
      </c>
      <c r="I104" s="1">
        <v>2.0</v>
      </c>
      <c r="J104" s="3">
        <v>5.0</v>
      </c>
      <c r="K104" s="1">
        <v>350.0</v>
      </c>
      <c r="L104" s="1">
        <v>40.0</v>
      </c>
      <c r="M104" s="1" t="s">
        <v>33</v>
      </c>
      <c r="N104" s="1">
        <v>250.0</v>
      </c>
    </row>
    <row r="105">
      <c r="A105" s="1" t="s">
        <v>270</v>
      </c>
      <c r="B105" s="1" t="s">
        <v>271</v>
      </c>
      <c r="C105" s="1" t="s">
        <v>153</v>
      </c>
      <c r="D105" s="1" t="str">
        <f>IFERROR(
  VLOOKUP(C105, category_map!A:B, 2, FALSE),
  C105
)
</f>
        <v>Gia vị</v>
      </c>
      <c r="E105" s="1">
        <v>90.0</v>
      </c>
      <c r="F105" s="2">
        <v>0.0</v>
      </c>
      <c r="G105" s="3">
        <v>3.0</v>
      </c>
      <c r="H105" s="3">
        <v>9.0</v>
      </c>
      <c r="I105" s="1">
        <v>0.0</v>
      </c>
      <c r="J105" s="3">
        <v>46144.0</v>
      </c>
      <c r="K105" s="1">
        <v>300.0</v>
      </c>
      <c r="L105" s="1">
        <v>0.0</v>
      </c>
      <c r="M105" s="1" t="s">
        <v>33</v>
      </c>
      <c r="N105" s="1">
        <v>0.0</v>
      </c>
    </row>
    <row r="106">
      <c r="A106" s="1" t="s">
        <v>272</v>
      </c>
      <c r="B106" s="1" t="s">
        <v>273</v>
      </c>
      <c r="C106" s="1" t="s">
        <v>28</v>
      </c>
      <c r="D106" s="1" t="str">
        <f>IFERROR(
  VLOOKUP(C106, category_map!A:B, 2, FALSE),
  C106
)
</f>
        <v>Trái cây</v>
      </c>
      <c r="E106" s="1">
        <v>77.0</v>
      </c>
      <c r="F106" s="2">
        <v>46174.0</v>
      </c>
      <c r="G106" s="3">
        <v>19.0</v>
      </c>
      <c r="H106" s="3" t="s">
        <v>36</v>
      </c>
      <c r="I106" s="4">
        <v>46144.0</v>
      </c>
      <c r="J106" s="3">
        <v>15.0</v>
      </c>
      <c r="K106" s="1">
        <v>0.0</v>
      </c>
      <c r="L106" s="1">
        <v>0.0</v>
      </c>
      <c r="M106" s="1" t="s">
        <v>37</v>
      </c>
      <c r="N106" s="1">
        <v>0.0</v>
      </c>
    </row>
    <row r="107">
      <c r="A107" s="1" t="s">
        <v>274</v>
      </c>
      <c r="B107" s="1" t="s">
        <v>275</v>
      </c>
      <c r="C107" s="1" t="s">
        <v>99</v>
      </c>
      <c r="D107" s="1" t="str">
        <f>IFERROR(
  VLOOKUP(C107, category_map!A:B, 2, FALSE),
  C107
)
</f>
        <v>Chất đạm/Thịt</v>
      </c>
      <c r="E107" s="1">
        <v>70.0</v>
      </c>
      <c r="F107" s="2">
        <v>6.0</v>
      </c>
      <c r="G107" s="3">
        <v>1.0</v>
      </c>
      <c r="H107" s="3">
        <v>5.0</v>
      </c>
      <c r="I107" s="1">
        <v>0.0</v>
      </c>
      <c r="J107" s="3" t="s">
        <v>36</v>
      </c>
      <c r="K107" s="1">
        <v>360.0</v>
      </c>
      <c r="L107" s="1">
        <v>30.0</v>
      </c>
      <c r="M107" s="1" t="s">
        <v>17</v>
      </c>
      <c r="N107" s="1">
        <v>0.0</v>
      </c>
    </row>
    <row r="108">
      <c r="A108" s="1" t="s">
        <v>276</v>
      </c>
      <c r="B108" s="1" t="s">
        <v>277</v>
      </c>
      <c r="C108" s="1" t="s">
        <v>20</v>
      </c>
      <c r="D108" s="1" t="str">
        <f>IFERROR(
  VLOOKUP(C108, category_map!A:B, 2, FALSE),
  C108
)
</f>
        <v>Ngũ cốc</v>
      </c>
      <c r="E108" s="1">
        <v>150.0</v>
      </c>
      <c r="F108" s="2">
        <v>3.0</v>
      </c>
      <c r="G108" s="3">
        <v>32.0</v>
      </c>
      <c r="H108" s="3">
        <v>1.0</v>
      </c>
      <c r="I108" s="1">
        <v>2.0</v>
      </c>
      <c r="J108" s="3" t="s">
        <v>36</v>
      </c>
      <c r="K108" s="1">
        <v>320.0</v>
      </c>
      <c r="L108" s="1">
        <v>0.0</v>
      </c>
      <c r="M108" s="1" t="s">
        <v>17</v>
      </c>
      <c r="N108" s="1">
        <v>0.0</v>
      </c>
    </row>
    <row r="109">
      <c r="A109" s="1" t="s">
        <v>278</v>
      </c>
      <c r="B109" s="1" t="s">
        <v>279</v>
      </c>
      <c r="C109" s="1" t="s">
        <v>261</v>
      </c>
      <c r="D109" s="1" t="str">
        <f>IFERROR(
  VLOOKUP(C109, category_map!A:B, 2, FALSE),
  C109
)
</f>
        <v>Gia vị/Sữa</v>
      </c>
      <c r="E109" s="1">
        <v>100.0</v>
      </c>
      <c r="F109" s="2" t="s">
        <v>25</v>
      </c>
      <c r="G109" s="3">
        <v>0.0</v>
      </c>
      <c r="H109" s="3">
        <v>11.0</v>
      </c>
      <c r="I109" s="1">
        <v>0.0</v>
      </c>
      <c r="J109" s="3">
        <v>0.0</v>
      </c>
      <c r="K109" s="1">
        <v>82.0</v>
      </c>
      <c r="L109" s="1">
        <v>30.0</v>
      </c>
      <c r="M109" s="1" t="s">
        <v>17</v>
      </c>
      <c r="N109" s="1">
        <v>0.0</v>
      </c>
    </row>
    <row r="110">
      <c r="A110" s="1" t="s">
        <v>280</v>
      </c>
      <c r="B110" s="1" t="s">
        <v>281</v>
      </c>
      <c r="C110" s="1" t="s">
        <v>61</v>
      </c>
      <c r="D110" s="1" t="str">
        <f>IFERROR(
  VLOOKUP(C110, category_map!A:B, 2, FALSE),
  C110
)
</f>
        <v>Bữa ăn/Chế biến</v>
      </c>
      <c r="E110" s="1">
        <v>580.0</v>
      </c>
      <c r="F110" s="2">
        <v>28.0</v>
      </c>
      <c r="G110" s="3">
        <v>55.0</v>
      </c>
      <c r="H110" s="3">
        <v>27.0</v>
      </c>
      <c r="I110" s="1">
        <v>6.0</v>
      </c>
      <c r="J110" s="3">
        <v>10.0</v>
      </c>
      <c r="K110" s="1">
        <v>1200.0</v>
      </c>
      <c r="L110" s="1">
        <v>70.0</v>
      </c>
      <c r="M110" s="1" t="s">
        <v>33</v>
      </c>
      <c r="N110" s="1">
        <v>500.0</v>
      </c>
    </row>
    <row r="111">
      <c r="A111" s="1" t="s">
        <v>282</v>
      </c>
      <c r="B111" s="1" t="s">
        <v>283</v>
      </c>
      <c r="C111" s="1" t="s">
        <v>28</v>
      </c>
      <c r="D111" s="1" t="str">
        <f>IFERROR(
  VLOOKUP(C111, category_map!A:B, 2, FALSE),
  C111
)
</f>
        <v>Trái cây</v>
      </c>
      <c r="E111" s="1">
        <v>46.0</v>
      </c>
      <c r="F111" s="2" t="s">
        <v>224</v>
      </c>
      <c r="G111" s="3">
        <v>46033.0</v>
      </c>
      <c r="H111" s="3" t="s">
        <v>29</v>
      </c>
      <c r="I111" s="4">
        <v>46083.0</v>
      </c>
      <c r="J111" s="3">
        <v>46209.0</v>
      </c>
      <c r="K111" s="1">
        <v>2.0</v>
      </c>
      <c r="L111" s="1">
        <v>0.0</v>
      </c>
      <c r="M111" s="1" t="s">
        <v>37</v>
      </c>
      <c r="N111" s="1">
        <v>0.0</v>
      </c>
    </row>
    <row r="112">
      <c r="A112" s="1" t="s">
        <v>284</v>
      </c>
      <c r="B112" s="1" t="s">
        <v>285</v>
      </c>
      <c r="C112" s="1" t="s">
        <v>258</v>
      </c>
      <c r="D112" s="1" t="str">
        <f>IFERROR(
  VLOOKUP(C112, category_map!A:B, 2, FALSE),
  C112
)
</f>
        <v>Đồ ăn nhẹ/Chế biến</v>
      </c>
      <c r="E112" s="1">
        <v>116.0</v>
      </c>
      <c r="F112" s="2">
        <v>46121.0</v>
      </c>
      <c r="G112" s="3">
        <v>46025.0</v>
      </c>
      <c r="H112" s="3">
        <v>46060.0</v>
      </c>
      <c r="I112" s="1" t="s">
        <v>36</v>
      </c>
      <c r="J112" s="3">
        <v>46144.0</v>
      </c>
      <c r="K112" s="1">
        <v>590.0</v>
      </c>
      <c r="L112" s="1">
        <v>30.0</v>
      </c>
      <c r="M112" s="1" t="s">
        <v>37</v>
      </c>
      <c r="N112" s="1">
        <v>0.0</v>
      </c>
    </row>
    <row r="113">
      <c r="A113" s="1" t="s">
        <v>286</v>
      </c>
      <c r="B113" s="1" t="s">
        <v>287</v>
      </c>
      <c r="C113" s="1" t="s">
        <v>28</v>
      </c>
      <c r="D113" s="1" t="str">
        <f>IFERROR(
  VLOOKUP(C113, category_map!A:B, 2, FALSE),
  C113
)
</f>
        <v>Trái cây</v>
      </c>
      <c r="E113" s="1">
        <v>74.0</v>
      </c>
      <c r="F113" s="2" t="s">
        <v>47</v>
      </c>
      <c r="G113" s="3">
        <v>46072.0</v>
      </c>
      <c r="H113" s="3" t="s">
        <v>24</v>
      </c>
      <c r="I113" s="4">
        <v>46267.0</v>
      </c>
      <c r="J113" s="3">
        <v>46069.0</v>
      </c>
      <c r="K113" s="1">
        <v>2.0</v>
      </c>
      <c r="L113" s="1">
        <v>0.0</v>
      </c>
      <c r="M113" s="1" t="s">
        <v>37</v>
      </c>
      <c r="N113" s="1">
        <v>0.0</v>
      </c>
    </row>
    <row r="114">
      <c r="A114" s="1" t="s">
        <v>288</v>
      </c>
      <c r="B114" s="1" t="s">
        <v>289</v>
      </c>
      <c r="C114" s="1" t="s">
        <v>264</v>
      </c>
      <c r="D114" s="1" t="str">
        <f>IFERROR(
  VLOOKUP(C114, category_map!A:B, 2, FALSE),
  C114
)
</f>
        <v>Chất đạm/Hải sản</v>
      </c>
      <c r="E114" s="1">
        <v>76.0</v>
      </c>
      <c r="F114" s="2">
        <v>16.0</v>
      </c>
      <c r="G114" s="3">
        <v>0.0</v>
      </c>
      <c r="H114" s="3" t="s">
        <v>186</v>
      </c>
      <c r="I114" s="1">
        <v>0.0</v>
      </c>
      <c r="J114" s="3">
        <v>0.0</v>
      </c>
      <c r="K114" s="1">
        <v>250.0</v>
      </c>
      <c r="L114" s="1">
        <v>125.0</v>
      </c>
      <c r="M114" s="1" t="s">
        <v>41</v>
      </c>
      <c r="N114" s="1">
        <v>250.0</v>
      </c>
    </row>
    <row r="115">
      <c r="A115" s="1" t="s">
        <v>290</v>
      </c>
      <c r="B115" s="1" t="s">
        <v>291</v>
      </c>
      <c r="C115" s="1" t="s">
        <v>153</v>
      </c>
      <c r="D115" s="1" t="str">
        <f>IFERROR(
  VLOOKUP(C115, category_map!A:B, 2, FALSE),
  C115
)
</f>
        <v>Gia vị</v>
      </c>
      <c r="E115" s="1">
        <v>200.0</v>
      </c>
      <c r="F115" s="2" t="s">
        <v>55</v>
      </c>
      <c r="G115" s="3">
        <v>0.0</v>
      </c>
      <c r="H115" s="3">
        <v>22.0</v>
      </c>
      <c r="I115" s="1">
        <v>0.0</v>
      </c>
      <c r="J115" s="3">
        <v>0.0</v>
      </c>
      <c r="K115" s="1">
        <v>164.0</v>
      </c>
      <c r="L115" s="1">
        <v>60.0</v>
      </c>
      <c r="M115" s="1" t="s">
        <v>41</v>
      </c>
      <c r="N115" s="1">
        <v>0.0</v>
      </c>
    </row>
    <row r="116">
      <c r="A116" s="1" t="s">
        <v>292</v>
      </c>
      <c r="B116" s="1" t="s">
        <v>293</v>
      </c>
      <c r="C116" s="1" t="s">
        <v>46</v>
      </c>
      <c r="D116" s="1" t="str">
        <f>IFERROR(
  VLOOKUP(C116, category_map!A:B, 2, FALSE),
  C116
)
</f>
        <v>Rau củ</v>
      </c>
      <c r="E116" s="1">
        <v>125.0</v>
      </c>
      <c r="F116" s="2">
        <v>5.0</v>
      </c>
      <c r="G116" s="3">
        <v>29.0</v>
      </c>
      <c r="H116" s="3">
        <v>46143.0</v>
      </c>
      <c r="I116" s="1">
        <v>3.0</v>
      </c>
      <c r="J116" s="3">
        <v>5.0</v>
      </c>
      <c r="K116" s="1">
        <v>2.0</v>
      </c>
      <c r="L116" s="1">
        <v>0.0</v>
      </c>
      <c r="M116" s="1" t="s">
        <v>41</v>
      </c>
      <c r="N116" s="1">
        <v>0.0</v>
      </c>
    </row>
    <row r="117">
      <c r="A117" s="1" t="s">
        <v>294</v>
      </c>
      <c r="B117" s="1" t="s">
        <v>295</v>
      </c>
      <c r="C117" s="1" t="s">
        <v>211</v>
      </c>
      <c r="D117" s="1" t="str">
        <f>IFERROR(
  VLOOKUP(C117, category_map!A:B, 2, FALSE),
  C117
)
</f>
        <v>Bữa ăn/Rau củ</v>
      </c>
      <c r="E117" s="1">
        <v>140.0</v>
      </c>
      <c r="F117" s="2">
        <v>4.0</v>
      </c>
      <c r="G117" s="3">
        <v>22.0</v>
      </c>
      <c r="H117" s="3">
        <v>4.0</v>
      </c>
      <c r="I117" s="1">
        <v>6.0</v>
      </c>
      <c r="J117" s="3">
        <v>8.0</v>
      </c>
      <c r="K117" s="1">
        <v>780.0</v>
      </c>
      <c r="L117" s="1">
        <v>5.0</v>
      </c>
      <c r="M117" s="1" t="s">
        <v>33</v>
      </c>
      <c r="N117" s="1">
        <v>250.0</v>
      </c>
    </row>
    <row r="118">
      <c r="A118" s="1" t="s">
        <v>296</v>
      </c>
      <c r="B118" s="1" t="s">
        <v>297</v>
      </c>
      <c r="C118" s="1" t="s">
        <v>74</v>
      </c>
      <c r="D118" s="1" t="str">
        <f>IFERROR(
  VLOOKUP(C118, category_map!A:B, 2, FALSE),
  C118
)
</f>
        <v>Ngũ cốc/Chế biến</v>
      </c>
      <c r="E118" s="1">
        <v>60.0</v>
      </c>
      <c r="F118" s="2">
        <v>1.0</v>
      </c>
      <c r="G118" s="3">
        <v>10.0</v>
      </c>
      <c r="H118" s="3">
        <v>46143.0</v>
      </c>
      <c r="I118" s="1" t="s">
        <v>36</v>
      </c>
      <c r="J118" s="3">
        <v>0.0</v>
      </c>
      <c r="K118" s="1">
        <v>140.0</v>
      </c>
      <c r="L118" s="1">
        <v>0.0</v>
      </c>
      <c r="M118" s="1" t="s">
        <v>33</v>
      </c>
      <c r="N118" s="1">
        <v>0.0</v>
      </c>
    </row>
    <row r="119">
      <c r="A119" s="1" t="s">
        <v>298</v>
      </c>
      <c r="B119" s="1" t="s">
        <v>299</v>
      </c>
      <c r="C119" s="1" t="s">
        <v>28</v>
      </c>
      <c r="D119" s="1" t="str">
        <f>IFERROR(
  VLOOKUP(C119, category_map!A:B, 2, FALSE),
  C119
)
</f>
        <v>Trái cây</v>
      </c>
      <c r="E119" s="1">
        <v>99.0</v>
      </c>
      <c r="F119" s="2">
        <v>46113.0</v>
      </c>
      <c r="G119" s="3">
        <v>46227.0</v>
      </c>
      <c r="H119" s="3" t="s">
        <v>47</v>
      </c>
      <c r="I119" s="4">
        <v>46175.0</v>
      </c>
      <c r="J119" s="3">
        <v>46164.0</v>
      </c>
      <c r="K119" s="1">
        <v>2.0</v>
      </c>
      <c r="L119" s="1">
        <v>0.0</v>
      </c>
      <c r="M119" s="1" t="s">
        <v>37</v>
      </c>
      <c r="N119" s="1">
        <v>0.0</v>
      </c>
    </row>
    <row r="120">
      <c r="A120" s="1" t="s">
        <v>300</v>
      </c>
      <c r="B120" s="1" t="s">
        <v>301</v>
      </c>
      <c r="C120" s="1" t="s">
        <v>144</v>
      </c>
      <c r="D120" s="1" t="str">
        <f>IFERROR(
  VLOOKUP(C120, category_map!A:B, 2, FALSE),
  C120
)
</f>
        <v>Tráng miệng</v>
      </c>
      <c r="E120" s="1">
        <v>320.0</v>
      </c>
      <c r="F120" s="2">
        <v>5.0</v>
      </c>
      <c r="G120" s="3">
        <v>28.0</v>
      </c>
      <c r="H120" s="3">
        <v>21.0</v>
      </c>
      <c r="I120" s="1">
        <v>1.0</v>
      </c>
      <c r="J120" s="3">
        <v>20.0</v>
      </c>
      <c r="K120" s="1">
        <v>280.0</v>
      </c>
      <c r="L120" s="1">
        <v>65.0</v>
      </c>
      <c r="M120" s="1" t="s">
        <v>37</v>
      </c>
      <c r="N120" s="1">
        <v>250.0</v>
      </c>
    </row>
    <row r="121">
      <c r="A121" s="1" t="s">
        <v>302</v>
      </c>
      <c r="B121" s="1" t="s">
        <v>303</v>
      </c>
      <c r="C121" s="1" t="s">
        <v>66</v>
      </c>
      <c r="D121" s="1" t="str">
        <f>IFERROR(
  VLOOKUP(C121, category_map!A:B, 2, FALSE),
  C121
)
</f>
        <v>Bữa ăn/Mì ống</v>
      </c>
      <c r="E121" s="1">
        <v>550.0</v>
      </c>
      <c r="F121" s="2">
        <v>25.0</v>
      </c>
      <c r="G121" s="3">
        <v>60.0</v>
      </c>
      <c r="H121" s="3">
        <v>22.0</v>
      </c>
      <c r="I121" s="1">
        <v>5.0</v>
      </c>
      <c r="J121" s="3">
        <v>10.0</v>
      </c>
      <c r="K121" s="1">
        <v>950.0</v>
      </c>
      <c r="L121" s="1">
        <v>70.0</v>
      </c>
      <c r="M121" s="1" t="s">
        <v>41</v>
      </c>
      <c r="N121" s="1">
        <v>500.0</v>
      </c>
    </row>
    <row r="122">
      <c r="A122" s="1" t="s">
        <v>304</v>
      </c>
      <c r="B122" s="1" t="s">
        <v>305</v>
      </c>
      <c r="C122" s="1" t="s">
        <v>258</v>
      </c>
      <c r="D122" s="1" t="str">
        <f>IFERROR(
  VLOOKUP(C122, category_map!A:B, 2, FALSE),
  C122
)
</f>
        <v>Đồ ăn nhẹ/Chế biến</v>
      </c>
      <c r="E122" s="1">
        <v>180.0</v>
      </c>
      <c r="F122" s="2">
        <v>4.0</v>
      </c>
      <c r="G122" s="3">
        <v>25.0</v>
      </c>
      <c r="H122" s="3">
        <v>7.0</v>
      </c>
      <c r="I122" s="1">
        <v>3.0</v>
      </c>
      <c r="J122" s="3">
        <v>3.0</v>
      </c>
      <c r="K122" s="1">
        <v>450.0</v>
      </c>
      <c r="L122" s="1">
        <v>0.0</v>
      </c>
      <c r="M122" s="1" t="s">
        <v>41</v>
      </c>
      <c r="N122" s="1">
        <v>0.0</v>
      </c>
    </row>
    <row r="123">
      <c r="A123" s="1" t="s">
        <v>306</v>
      </c>
      <c r="B123" s="1" t="s">
        <v>307</v>
      </c>
      <c r="C123" s="1" t="s">
        <v>23</v>
      </c>
      <c r="D123" s="1" t="str">
        <f>IFERROR(
  VLOOKUP(C123, category_map!A:B, 2, FALSE),
  C123
)
</f>
        <v>Đồ uống</v>
      </c>
      <c r="E123" s="1">
        <v>46.0</v>
      </c>
      <c r="F123" s="2">
        <v>46204.0</v>
      </c>
      <c r="G123" s="3">
        <v>46273.0</v>
      </c>
      <c r="H123" s="3" t="s">
        <v>36</v>
      </c>
      <c r="I123" s="4">
        <v>46175.0</v>
      </c>
      <c r="J123" s="3">
        <v>46087.0</v>
      </c>
      <c r="K123" s="1">
        <v>252.0</v>
      </c>
      <c r="L123" s="1">
        <v>0.0</v>
      </c>
      <c r="M123" s="1" t="s">
        <v>37</v>
      </c>
      <c r="N123" s="1">
        <v>240.0</v>
      </c>
    </row>
    <row r="124">
      <c r="A124" s="1" t="s">
        <v>308</v>
      </c>
      <c r="B124" s="1" t="s">
        <v>309</v>
      </c>
      <c r="C124" s="1" t="s">
        <v>46</v>
      </c>
      <c r="D124" s="1" t="str">
        <f>IFERROR(
  VLOOKUP(C124, category_map!A:B, 2, FALSE),
  C124
)
</f>
        <v>Rau củ</v>
      </c>
      <c r="E124" s="1">
        <v>22.0</v>
      </c>
      <c r="F124" s="2">
        <v>46204.0</v>
      </c>
      <c r="G124" s="3">
        <v>4.0</v>
      </c>
      <c r="H124" s="3" t="s">
        <v>29</v>
      </c>
      <c r="I124" s="4">
        <v>46114.0</v>
      </c>
      <c r="J124" s="3">
        <v>46143.0</v>
      </c>
      <c r="K124" s="1">
        <v>750.0</v>
      </c>
      <c r="L124" s="1">
        <v>0.0</v>
      </c>
      <c r="M124" s="1" t="s">
        <v>310</v>
      </c>
      <c r="N124" s="1">
        <v>0.0</v>
      </c>
    </row>
    <row r="125">
      <c r="A125" s="1" t="s">
        <v>311</v>
      </c>
      <c r="B125" s="1" t="s">
        <v>312</v>
      </c>
      <c r="C125" s="1" t="s">
        <v>40</v>
      </c>
      <c r="D125" s="1" t="str">
        <f>IFERROR(
  VLOOKUP(C125, category_map!A:B, 2, FALSE),
  C125
)
</f>
        <v>Chất đạm/Cá</v>
      </c>
      <c r="E125" s="1">
        <v>120.0</v>
      </c>
      <c r="F125" s="2">
        <v>18.0</v>
      </c>
      <c r="G125" s="3">
        <v>0.0</v>
      </c>
      <c r="H125" s="3">
        <v>5.0</v>
      </c>
      <c r="I125" s="1">
        <v>0.0</v>
      </c>
      <c r="J125" s="3">
        <v>0.0</v>
      </c>
      <c r="K125" s="1">
        <v>45.0</v>
      </c>
      <c r="L125" s="1">
        <v>40.0</v>
      </c>
      <c r="M125" s="1" t="s">
        <v>33</v>
      </c>
      <c r="N125" s="1">
        <v>0.0</v>
      </c>
    </row>
    <row r="126">
      <c r="A126" s="1" t="s">
        <v>313</v>
      </c>
      <c r="B126" s="1" t="s">
        <v>314</v>
      </c>
      <c r="C126" s="1" t="s">
        <v>153</v>
      </c>
      <c r="D126" s="1" t="str">
        <f>IFERROR(
  VLOOKUP(C126, category_map!A:B, 2, FALSE),
  C126
)
</f>
        <v>Gia vị</v>
      </c>
      <c r="E126" s="1">
        <v>10.0</v>
      </c>
      <c r="F126" s="2" t="s">
        <v>25</v>
      </c>
      <c r="G126" s="3">
        <v>46055.0</v>
      </c>
      <c r="H126" s="3" t="s">
        <v>25</v>
      </c>
      <c r="I126" s="1" t="s">
        <v>24</v>
      </c>
      <c r="J126" s="3">
        <v>1.0</v>
      </c>
      <c r="K126" s="1">
        <v>40.0</v>
      </c>
      <c r="L126" s="1">
        <v>0.0</v>
      </c>
      <c r="M126" s="1" t="s">
        <v>33</v>
      </c>
      <c r="N126" s="1">
        <v>0.0</v>
      </c>
    </row>
    <row r="127">
      <c r="A127" s="1" t="s">
        <v>315</v>
      </c>
      <c r="B127" s="1" t="s">
        <v>316</v>
      </c>
      <c r="C127" s="1" t="s">
        <v>46</v>
      </c>
      <c r="D127" s="1" t="str">
        <f>IFERROR(
  VLOOKUP(C127, category_map!A:B, 2, FALSE),
  C127
)
</f>
        <v>Rau củ</v>
      </c>
      <c r="E127" s="1">
        <v>60.0</v>
      </c>
      <c r="F127" s="2">
        <v>2.0</v>
      </c>
      <c r="G127" s="3">
        <v>8.0</v>
      </c>
      <c r="H127" s="3">
        <v>3.0</v>
      </c>
      <c r="I127" s="1">
        <v>2.0</v>
      </c>
      <c r="J127" s="3">
        <v>4.0</v>
      </c>
      <c r="K127" s="1">
        <v>350.0</v>
      </c>
      <c r="L127" s="1">
        <v>0.0</v>
      </c>
      <c r="M127" s="1" t="s">
        <v>33</v>
      </c>
      <c r="N127" s="1">
        <v>0.0</v>
      </c>
    </row>
    <row r="128">
      <c r="A128" s="1" t="s">
        <v>317</v>
      </c>
      <c r="B128" s="1" t="s">
        <v>318</v>
      </c>
      <c r="C128" s="1" t="s">
        <v>319</v>
      </c>
      <c r="D128" s="1" t="str">
        <f>IFERROR(
  VLOOKUP(C128, category_map!A:B, 2, FALSE),
  C128
)
</f>
        <v>Bữa ăn</v>
      </c>
      <c r="E128" s="1">
        <v>150.0</v>
      </c>
      <c r="F128" s="2">
        <v>6.0</v>
      </c>
      <c r="G128" s="3">
        <v>15.0</v>
      </c>
      <c r="H128" s="3">
        <v>7.0</v>
      </c>
      <c r="I128" s="1">
        <v>2.0</v>
      </c>
      <c r="J128" s="3">
        <v>5.0</v>
      </c>
      <c r="K128" s="1">
        <v>800.0</v>
      </c>
      <c r="L128" s="1">
        <v>20.0</v>
      </c>
      <c r="M128" s="1" t="s">
        <v>33</v>
      </c>
      <c r="N128" s="1">
        <v>250.0</v>
      </c>
    </row>
    <row r="129">
      <c r="A129" s="1" t="s">
        <v>320</v>
      </c>
      <c r="B129" s="1" t="s">
        <v>321</v>
      </c>
      <c r="C129" s="1" t="s">
        <v>20</v>
      </c>
      <c r="D129" s="1" t="str">
        <f>IFERROR(
  VLOOKUP(C129, category_map!A:B, 2, FALSE),
  C129
)
</f>
        <v>Ngũ cốc</v>
      </c>
      <c r="E129" s="1">
        <v>50.0</v>
      </c>
      <c r="F129" s="2">
        <v>46143.0</v>
      </c>
      <c r="G129" s="3">
        <v>7.0</v>
      </c>
      <c r="H129" s="3">
        <v>2.0</v>
      </c>
      <c r="I129" s="1" t="s">
        <v>36</v>
      </c>
      <c r="J129" s="3" t="s">
        <v>36</v>
      </c>
      <c r="K129" s="1">
        <v>140.0</v>
      </c>
      <c r="L129" s="1">
        <v>0.0</v>
      </c>
      <c r="M129" s="1" t="s">
        <v>33</v>
      </c>
      <c r="N129" s="1">
        <v>0.0</v>
      </c>
    </row>
    <row r="130">
      <c r="A130" s="1" t="s">
        <v>322</v>
      </c>
      <c r="B130" s="1" t="s">
        <v>323</v>
      </c>
      <c r="C130" s="1" t="s">
        <v>216</v>
      </c>
      <c r="D130" s="1" t="str">
        <f>IFERROR(
  VLOOKUP(C130, category_map!A:B, 2, FALSE),
  C130
)
</f>
        <v>Bữa ăn/Thịt</v>
      </c>
      <c r="E130" s="1">
        <v>400.0</v>
      </c>
      <c r="F130" s="2">
        <v>20.0</v>
      </c>
      <c r="G130" s="3">
        <v>35.0</v>
      </c>
      <c r="H130" s="3">
        <v>20.0</v>
      </c>
      <c r="I130" s="1">
        <v>6.0</v>
      </c>
      <c r="J130" s="3">
        <v>7.0</v>
      </c>
      <c r="K130" s="1">
        <v>850.0</v>
      </c>
      <c r="L130" s="1">
        <v>55.0</v>
      </c>
      <c r="M130" s="1" t="s">
        <v>41</v>
      </c>
      <c r="N130" s="1">
        <v>250.0</v>
      </c>
    </row>
    <row r="131">
      <c r="A131" s="1" t="s">
        <v>324</v>
      </c>
      <c r="B131" s="1" t="s">
        <v>325</v>
      </c>
      <c r="C131" s="1" t="s">
        <v>128</v>
      </c>
      <c r="D131" s="1" t="str">
        <f>IFERROR(
  VLOOKUP(C131, category_map!A:B, 2, FALSE),
  C131
)
</f>
        <v>Đậu</v>
      </c>
      <c r="E131" s="1">
        <v>62.0</v>
      </c>
      <c r="F131" s="2">
        <v>46026.0</v>
      </c>
      <c r="G131" s="3">
        <v>46033.0</v>
      </c>
      <c r="H131" s="3" t="s">
        <v>55</v>
      </c>
      <c r="I131" s="4">
        <v>46116.0</v>
      </c>
      <c r="J131" s="3">
        <v>46057.0</v>
      </c>
      <c r="K131" s="1">
        <v>2.0</v>
      </c>
      <c r="L131" s="1">
        <v>0.0</v>
      </c>
      <c r="M131" s="1" t="s">
        <v>41</v>
      </c>
      <c r="N131" s="1">
        <v>0.0</v>
      </c>
    </row>
    <row r="132">
      <c r="A132" s="1" t="s">
        <v>326</v>
      </c>
      <c r="B132" s="1" t="s">
        <v>327</v>
      </c>
      <c r="C132" s="1" t="s">
        <v>144</v>
      </c>
      <c r="D132" s="1" t="str">
        <f>IFERROR(
  VLOOKUP(C132, category_map!A:B, 2, FALSE),
  C132
)
</f>
        <v>Tráng miệng</v>
      </c>
      <c r="E132" s="1">
        <v>410.0</v>
      </c>
      <c r="F132" s="2">
        <v>3.0</v>
      </c>
      <c r="G132" s="3">
        <v>58.0</v>
      </c>
      <c r="H132" s="3">
        <v>19.0</v>
      </c>
      <c r="I132" s="1">
        <v>3.0</v>
      </c>
      <c r="J132" s="3">
        <v>25.0</v>
      </c>
      <c r="K132" s="1">
        <v>320.0</v>
      </c>
      <c r="L132" s="1">
        <v>0.0</v>
      </c>
      <c r="M132" s="1" t="s">
        <v>37</v>
      </c>
      <c r="N132" s="1">
        <v>0.0</v>
      </c>
    </row>
    <row r="133">
      <c r="A133" s="1" t="s">
        <v>328</v>
      </c>
      <c r="B133" s="1" t="s">
        <v>329</v>
      </c>
      <c r="C133" s="1" t="s">
        <v>23</v>
      </c>
      <c r="D133" s="1" t="str">
        <f>IFERROR(
  VLOOKUP(C133, category_map!A:B, 2, FALSE),
  C133
)
</f>
        <v>Đồ uống</v>
      </c>
      <c r="E133" s="1">
        <v>170.0</v>
      </c>
      <c r="F133" s="2">
        <v>0.0</v>
      </c>
      <c r="G133" s="3">
        <v>13.0</v>
      </c>
      <c r="H133" s="3">
        <v>0.0</v>
      </c>
      <c r="I133" s="1">
        <v>0.0</v>
      </c>
      <c r="J133" s="3">
        <v>13.0</v>
      </c>
      <c r="K133" s="1">
        <v>2.0</v>
      </c>
      <c r="L133" s="1">
        <v>0.0</v>
      </c>
      <c r="M133" s="1" t="s">
        <v>37</v>
      </c>
      <c r="N133" s="1">
        <v>180.0</v>
      </c>
    </row>
    <row r="134">
      <c r="A134" s="1" t="s">
        <v>330</v>
      </c>
      <c r="B134" s="1" t="s">
        <v>331</v>
      </c>
      <c r="C134" s="1" t="s">
        <v>23</v>
      </c>
      <c r="D134" s="1" t="str">
        <f>IFERROR(
  VLOOKUP(C134, category_map!A:B, 2, FALSE),
  C134
)
</f>
        <v>Đồ uống</v>
      </c>
      <c r="E134" s="1">
        <v>125.0</v>
      </c>
      <c r="F134" s="2" t="s">
        <v>25</v>
      </c>
      <c r="G134" s="3">
        <v>46237.0</v>
      </c>
      <c r="H134" s="3">
        <v>0.0</v>
      </c>
      <c r="I134" s="1">
        <v>0.0</v>
      </c>
      <c r="J134" s="3" t="s">
        <v>224</v>
      </c>
      <c r="K134" s="1">
        <v>6.0</v>
      </c>
      <c r="L134" s="1">
        <v>0.0</v>
      </c>
      <c r="M134" s="1" t="s">
        <v>41</v>
      </c>
      <c r="N134" s="1">
        <v>0.0</v>
      </c>
    </row>
    <row r="135">
      <c r="A135" s="1" t="s">
        <v>332</v>
      </c>
      <c r="B135" s="1" t="s">
        <v>333</v>
      </c>
      <c r="C135" s="1" t="s">
        <v>40</v>
      </c>
      <c r="D135" s="1" t="str">
        <f>IFERROR(
  VLOOKUP(C135, category_map!A:B, 2, FALSE),
  C135
)
</f>
        <v>Chất đạm/Cá</v>
      </c>
      <c r="E135" s="1">
        <v>125.0</v>
      </c>
      <c r="F135" s="2">
        <v>24.0</v>
      </c>
      <c r="G135" s="3">
        <v>0.0</v>
      </c>
      <c r="H135" s="3">
        <v>46144.0</v>
      </c>
      <c r="I135" s="1">
        <v>0.0</v>
      </c>
      <c r="J135" s="3">
        <v>0.0</v>
      </c>
      <c r="K135" s="1">
        <v>60.0</v>
      </c>
      <c r="L135" s="1">
        <v>40.0</v>
      </c>
      <c r="M135" s="1" t="s">
        <v>41</v>
      </c>
      <c r="N135" s="1">
        <v>250.0</v>
      </c>
    </row>
    <row r="136">
      <c r="A136" s="1" t="s">
        <v>334</v>
      </c>
      <c r="B136" s="1" t="s">
        <v>335</v>
      </c>
      <c r="C136" s="1" t="s">
        <v>85</v>
      </c>
      <c r="D136" s="1" t="str">
        <f>IFERROR(
  VLOOKUP(C136, category_map!A:B, 2, FALSE),
  C136
)
</f>
        <v>Bữa ăn/Chay</v>
      </c>
      <c r="E136" s="1">
        <v>260.0</v>
      </c>
      <c r="F136" s="2">
        <v>9.0</v>
      </c>
      <c r="G136" s="3">
        <v>32.0</v>
      </c>
      <c r="H136" s="3">
        <v>12.0</v>
      </c>
      <c r="I136" s="1">
        <v>6.0</v>
      </c>
      <c r="J136" s="3">
        <v>4.0</v>
      </c>
      <c r="K136" s="1">
        <v>300.0</v>
      </c>
      <c r="L136" s="1">
        <v>0.0</v>
      </c>
      <c r="M136" s="1" t="s">
        <v>33</v>
      </c>
      <c r="N136" s="1">
        <v>250.0</v>
      </c>
    </row>
    <row r="137">
      <c r="A137" s="1" t="s">
        <v>336</v>
      </c>
      <c r="B137" s="1" t="s">
        <v>337</v>
      </c>
      <c r="C137" s="1" t="s">
        <v>23</v>
      </c>
      <c r="D137" s="1" t="str">
        <f>IFERROR(
  VLOOKUP(C137, category_map!A:B, 2, FALSE),
  C137
)
</f>
        <v>Đồ uống</v>
      </c>
      <c r="E137" s="1">
        <v>99.0</v>
      </c>
      <c r="F137" s="2" t="s">
        <v>25</v>
      </c>
      <c r="G137" s="3">
        <v>26.0</v>
      </c>
      <c r="H137" s="3">
        <v>0.0</v>
      </c>
      <c r="I137" s="1" t="s">
        <v>25</v>
      </c>
      <c r="J137" s="3">
        <v>25.0</v>
      </c>
      <c r="K137" s="1">
        <v>30.0</v>
      </c>
      <c r="L137" s="1">
        <v>0.0</v>
      </c>
      <c r="M137" s="1" t="s">
        <v>37</v>
      </c>
      <c r="N137" s="1">
        <v>240.0</v>
      </c>
    </row>
    <row r="138">
      <c r="A138" s="1" t="s">
        <v>338</v>
      </c>
      <c r="B138" s="1" t="s">
        <v>339</v>
      </c>
      <c r="C138" s="1" t="s">
        <v>58</v>
      </c>
      <c r="D138" s="1" t="str">
        <f>IFERROR(
  VLOOKUP(C138, category_map!A:B, 2, FALSE),
  C138
)
</f>
        <v>Hạt</v>
      </c>
      <c r="E138" s="1">
        <v>159.0</v>
      </c>
      <c r="F138" s="2">
        <v>46208.0</v>
      </c>
      <c r="G138" s="3">
        <v>46210.0</v>
      </c>
      <c r="H138" s="3">
        <v>46246.0</v>
      </c>
      <c r="I138" s="1">
        <v>3.0</v>
      </c>
      <c r="J138" s="3">
        <v>46055.0</v>
      </c>
      <c r="K138" s="1">
        <v>2.0</v>
      </c>
      <c r="L138" s="1">
        <v>0.0</v>
      </c>
      <c r="M138" s="1" t="s">
        <v>37</v>
      </c>
      <c r="N138" s="1">
        <v>0.0</v>
      </c>
    </row>
    <row r="139">
      <c r="A139" s="1" t="s">
        <v>340</v>
      </c>
      <c r="B139" s="1" t="s">
        <v>341</v>
      </c>
      <c r="C139" s="1" t="s">
        <v>342</v>
      </c>
      <c r="D139" s="1" t="str">
        <f>IFERROR(
  VLOOKUP(C139, category_map!A:B, 2, FALSE),
  C139
)
</f>
        <v>Đồ uống/Sữa thay thế</v>
      </c>
      <c r="E139" s="1">
        <v>120.0</v>
      </c>
      <c r="F139" s="2">
        <v>3.0</v>
      </c>
      <c r="G139" s="3">
        <v>16.0</v>
      </c>
      <c r="H139" s="3">
        <v>5.0</v>
      </c>
      <c r="I139" s="1">
        <v>2.0</v>
      </c>
      <c r="J139" s="3">
        <v>7.0</v>
      </c>
      <c r="K139" s="1">
        <v>100.0</v>
      </c>
      <c r="L139" s="1">
        <v>0.0</v>
      </c>
      <c r="M139" s="1" t="s">
        <v>17</v>
      </c>
      <c r="N139" s="1">
        <v>0.0</v>
      </c>
    </row>
    <row r="140">
      <c r="A140" s="1" t="s">
        <v>343</v>
      </c>
      <c r="B140" s="1" t="s">
        <v>344</v>
      </c>
      <c r="C140" s="1" t="s">
        <v>61</v>
      </c>
      <c r="D140" s="1" t="str">
        <f>IFERROR(
  VLOOKUP(C140, category_map!A:B, 2, FALSE),
  C140
)
</f>
        <v>Bữa ăn/Chế biến</v>
      </c>
      <c r="E140" s="1">
        <v>480.0</v>
      </c>
      <c r="F140" s="2">
        <v>10.0</v>
      </c>
      <c r="G140" s="3">
        <v>45.0</v>
      </c>
      <c r="H140" s="3">
        <v>28.0</v>
      </c>
      <c r="I140" s="1">
        <v>2.0</v>
      </c>
      <c r="J140" s="3">
        <v>3.0</v>
      </c>
      <c r="K140" s="1">
        <v>1100.0</v>
      </c>
      <c r="L140" s="1">
        <v>35.0</v>
      </c>
      <c r="M140" s="1" t="s">
        <v>17</v>
      </c>
      <c r="N140" s="1">
        <v>250.0</v>
      </c>
    </row>
    <row r="141">
      <c r="A141" s="1" t="s">
        <v>345</v>
      </c>
      <c r="B141" s="1" t="s">
        <v>346</v>
      </c>
      <c r="C141" s="1" t="s">
        <v>28</v>
      </c>
      <c r="D141" s="1" t="str">
        <f>IFERROR(
  VLOOKUP(C141, category_map!A:B, 2, FALSE),
  C141
)
</f>
        <v>Trái cây</v>
      </c>
      <c r="E141" s="1">
        <v>160.0</v>
      </c>
      <c r="F141" s="2">
        <v>2.0</v>
      </c>
      <c r="G141" s="3">
        <v>46150.0</v>
      </c>
      <c r="H141" s="3">
        <v>46217.0</v>
      </c>
      <c r="I141" s="4">
        <v>46209.0</v>
      </c>
      <c r="J141" s="3" t="s">
        <v>186</v>
      </c>
      <c r="K141" s="1">
        <v>7.0</v>
      </c>
      <c r="L141" s="1">
        <v>0.0</v>
      </c>
      <c r="M141" s="1" t="s">
        <v>17</v>
      </c>
      <c r="N141" s="1">
        <v>0.0</v>
      </c>
    </row>
    <row r="142">
      <c r="A142" s="1" t="s">
        <v>347</v>
      </c>
      <c r="B142" s="1" t="s">
        <v>348</v>
      </c>
      <c r="C142" s="1" t="s">
        <v>20</v>
      </c>
      <c r="D142" s="1" t="str">
        <f>IFERROR(
  VLOOKUP(C142, category_map!A:B, 2, FALSE),
  C142
)
</f>
        <v>Ngũ cốc</v>
      </c>
      <c r="E142" s="1">
        <v>100.0</v>
      </c>
      <c r="F142" s="2">
        <v>2.0</v>
      </c>
      <c r="G142" s="3">
        <v>24.0</v>
      </c>
      <c r="H142" s="3">
        <v>0.0</v>
      </c>
      <c r="I142" s="1">
        <v>1.0</v>
      </c>
      <c r="J142" s="3">
        <v>3.0</v>
      </c>
      <c r="K142" s="1">
        <v>200.0</v>
      </c>
      <c r="L142" s="1">
        <v>0.0</v>
      </c>
      <c r="M142" s="1" t="s">
        <v>17</v>
      </c>
      <c r="N142" s="1">
        <v>0.0</v>
      </c>
    </row>
    <row r="143">
      <c r="A143" s="1" t="s">
        <v>349</v>
      </c>
      <c r="B143" s="1" t="s">
        <v>350</v>
      </c>
      <c r="C143" s="1" t="s">
        <v>99</v>
      </c>
      <c r="D143" s="1" t="str">
        <f>IFERROR(
  VLOOKUP(C143, category_map!A:B, 2, FALSE),
  C143
)
</f>
        <v>Chất đạm/Thịt</v>
      </c>
      <c r="E143" s="1">
        <v>460.0</v>
      </c>
      <c r="F143" s="2">
        <v>38.0</v>
      </c>
      <c r="G143" s="3">
        <v>0.0</v>
      </c>
      <c r="H143" s="3">
        <v>33.0</v>
      </c>
      <c r="I143" s="1">
        <v>0.0</v>
      </c>
      <c r="J143" s="3">
        <v>0.0</v>
      </c>
      <c r="K143" s="1">
        <v>110.0</v>
      </c>
      <c r="L143" s="1">
        <v>105.0</v>
      </c>
      <c r="M143" s="1" t="s">
        <v>41</v>
      </c>
      <c r="N143" s="1">
        <v>0.0</v>
      </c>
    </row>
    <row r="144">
      <c r="A144" s="1" t="s">
        <v>351</v>
      </c>
      <c r="B144" s="1" t="s">
        <v>352</v>
      </c>
      <c r="C144" s="1" t="s">
        <v>46</v>
      </c>
      <c r="D144" s="1" t="str">
        <f>IFERROR(
  VLOOKUP(C144, category_map!A:B, 2, FALSE),
  C144
)
</f>
        <v>Rau củ</v>
      </c>
      <c r="E144" s="1">
        <v>190.0</v>
      </c>
      <c r="F144" s="2">
        <v>5.0</v>
      </c>
      <c r="G144" s="3">
        <v>8.0</v>
      </c>
      <c r="H144" s="3">
        <v>16.0</v>
      </c>
      <c r="I144" s="1">
        <v>3.0</v>
      </c>
      <c r="J144" s="3">
        <v>2.0</v>
      </c>
      <c r="K144" s="1">
        <v>450.0</v>
      </c>
      <c r="L144" s="1">
        <v>50.0</v>
      </c>
      <c r="M144" s="1" t="s">
        <v>41</v>
      </c>
      <c r="N144" s="1">
        <v>0.0</v>
      </c>
    </row>
    <row r="145">
      <c r="A145" s="1" t="s">
        <v>353</v>
      </c>
      <c r="B145" s="1" t="s">
        <v>354</v>
      </c>
      <c r="C145" s="1" t="s">
        <v>58</v>
      </c>
      <c r="D145" s="1" t="str">
        <f>IFERROR(
  VLOOKUP(C145, category_map!A:B, 2, FALSE),
  C145
)
</f>
        <v>Hạt</v>
      </c>
      <c r="E145" s="1">
        <v>196.0</v>
      </c>
      <c r="F145" s="2">
        <v>46175.0</v>
      </c>
      <c r="G145" s="3">
        <v>46268.0</v>
      </c>
      <c r="H145" s="3">
        <v>46132.0</v>
      </c>
      <c r="I145" s="4">
        <v>46205.0</v>
      </c>
      <c r="J145" s="3">
        <v>46023.0</v>
      </c>
      <c r="K145" s="1">
        <v>0.0</v>
      </c>
      <c r="L145" s="1">
        <v>0.0</v>
      </c>
      <c r="M145" s="1" t="s">
        <v>37</v>
      </c>
      <c r="N145" s="1">
        <v>0.0</v>
      </c>
    </row>
    <row r="146">
      <c r="A146" s="1" t="s">
        <v>355</v>
      </c>
      <c r="B146" s="1" t="s">
        <v>356</v>
      </c>
      <c r="C146" s="1" t="s">
        <v>28</v>
      </c>
      <c r="D146" s="1" t="str">
        <f>IFERROR(
  VLOOKUP(C146, category_map!A:B, 2, FALSE),
  C146
)
</f>
        <v>Trái cây</v>
      </c>
      <c r="E146" s="1">
        <v>110.0</v>
      </c>
      <c r="F146" s="2">
        <v>1.0</v>
      </c>
      <c r="G146" s="3">
        <v>28.0</v>
      </c>
      <c r="H146" s="3">
        <v>0.0</v>
      </c>
      <c r="I146" s="1">
        <v>2.0</v>
      </c>
      <c r="J146" s="3">
        <v>26.0</v>
      </c>
      <c r="K146" s="1">
        <v>10.0</v>
      </c>
      <c r="L146" s="1">
        <v>0.0</v>
      </c>
      <c r="M146" s="1" t="s">
        <v>37</v>
      </c>
      <c r="N146" s="1">
        <v>0.0</v>
      </c>
    </row>
    <row r="147">
      <c r="A147" s="1" t="s">
        <v>357</v>
      </c>
      <c r="B147" s="1" t="s">
        <v>358</v>
      </c>
      <c r="C147" s="1" t="s">
        <v>61</v>
      </c>
      <c r="D147" s="1" t="str">
        <f>IFERROR(
  VLOOKUP(C147, category_map!A:B, 2, FALSE),
  C147
)
</f>
        <v>Bữa ăn/Chế biến</v>
      </c>
      <c r="E147" s="1">
        <v>380.0</v>
      </c>
      <c r="F147" s="2">
        <v>9.0</v>
      </c>
      <c r="G147" s="3">
        <v>53.0</v>
      </c>
      <c r="H147" s="3">
        <v>14.0</v>
      </c>
      <c r="I147" s="1">
        <v>2.0</v>
      </c>
      <c r="J147" s="3">
        <v>2.0</v>
      </c>
      <c r="K147" s="1">
        <v>1580.0</v>
      </c>
      <c r="L147" s="1">
        <v>0.0</v>
      </c>
      <c r="M147" s="1" t="s">
        <v>33</v>
      </c>
      <c r="N147" s="1">
        <v>500.0</v>
      </c>
    </row>
    <row r="148">
      <c r="A148" s="1" t="s">
        <v>359</v>
      </c>
      <c r="B148" s="1" t="s">
        <v>360</v>
      </c>
      <c r="C148" s="1" t="s">
        <v>23</v>
      </c>
      <c r="D148" s="1" t="str">
        <f>IFERROR(
  VLOOKUP(C148, category_map!A:B, 2, FALSE),
  C148
)
</f>
        <v>Đồ uống</v>
      </c>
      <c r="E148" s="1">
        <v>360.0</v>
      </c>
      <c r="F148" s="2">
        <v>12.0</v>
      </c>
      <c r="G148" s="3">
        <v>48.0</v>
      </c>
      <c r="H148" s="3">
        <v>15.0</v>
      </c>
      <c r="I148" s="1">
        <v>2.0</v>
      </c>
      <c r="J148" s="3">
        <v>42.0</v>
      </c>
      <c r="K148" s="1">
        <v>150.0</v>
      </c>
      <c r="L148" s="1">
        <v>45.0</v>
      </c>
      <c r="M148" s="1" t="s">
        <v>37</v>
      </c>
      <c r="N148" s="1">
        <v>473.0</v>
      </c>
    </row>
    <row r="149">
      <c r="A149" s="1" t="s">
        <v>361</v>
      </c>
      <c r="B149" s="1" t="s">
        <v>362</v>
      </c>
      <c r="C149" s="1" t="s">
        <v>46</v>
      </c>
      <c r="D149" s="1" t="str">
        <f>IFERROR(
  VLOOKUP(C149, category_map!A:B, 2, FALSE),
  C149
)
</f>
        <v>Rau củ</v>
      </c>
      <c r="E149" s="1">
        <v>16.0</v>
      </c>
      <c r="F149" s="2" t="s">
        <v>186</v>
      </c>
      <c r="G149" s="3">
        <v>46176.0</v>
      </c>
      <c r="H149" s="3" t="s">
        <v>25</v>
      </c>
      <c r="I149" s="1" t="s">
        <v>36</v>
      </c>
      <c r="J149" s="3">
        <v>46204.0</v>
      </c>
      <c r="K149" s="1">
        <v>2.0</v>
      </c>
      <c r="L149" s="1">
        <v>0.0</v>
      </c>
      <c r="M149" s="1" t="s">
        <v>37</v>
      </c>
      <c r="N149" s="1">
        <v>0.0</v>
      </c>
    </row>
    <row r="150">
      <c r="A150" s="1" t="s">
        <v>363</v>
      </c>
      <c r="B150" s="1" t="s">
        <v>364</v>
      </c>
      <c r="C150" s="1" t="s">
        <v>50</v>
      </c>
      <c r="D150" s="1" t="str">
        <f>IFERROR(
  VLOOKUP(C150, category_map!A:B, 2, FALSE),
  C150
)
</f>
        <v>Sản phẩm từ sữa</v>
      </c>
      <c r="E150" s="1">
        <v>75.0</v>
      </c>
      <c r="F150" s="2">
        <v>4.0</v>
      </c>
      <c r="G150" s="3">
        <v>46054.0</v>
      </c>
      <c r="H150" s="3">
        <v>46028.0</v>
      </c>
      <c r="I150" s="1">
        <v>0.0</v>
      </c>
      <c r="J150" s="3" t="s">
        <v>186</v>
      </c>
      <c r="K150" s="1">
        <v>316.0</v>
      </c>
      <c r="L150" s="1">
        <v>25.0</v>
      </c>
      <c r="M150" s="1" t="s">
        <v>33</v>
      </c>
      <c r="N150" s="1">
        <v>0.0</v>
      </c>
    </row>
    <row r="151">
      <c r="A151" s="1" t="s">
        <v>365</v>
      </c>
      <c r="B151" s="1" t="s">
        <v>366</v>
      </c>
      <c r="C151" s="1" t="s">
        <v>28</v>
      </c>
      <c r="D151" s="1" t="str">
        <f>IFERROR(
  VLOOKUP(C151, category_map!A:B, 2, FALSE),
  C151
)
</f>
        <v>Trái cây</v>
      </c>
      <c r="E151" s="1">
        <v>35.0</v>
      </c>
      <c r="F151" s="2" t="s">
        <v>55</v>
      </c>
      <c r="G151" s="3">
        <v>1.0</v>
      </c>
      <c r="H151" s="3">
        <v>46145.0</v>
      </c>
      <c r="I151" s="1" t="s">
        <v>36</v>
      </c>
      <c r="J151" s="3">
        <v>0.0</v>
      </c>
      <c r="K151" s="1">
        <v>210.0</v>
      </c>
      <c r="L151" s="1">
        <v>0.0</v>
      </c>
      <c r="M151" s="1" t="s">
        <v>33</v>
      </c>
      <c r="N151" s="1">
        <v>0.0</v>
      </c>
    </row>
    <row r="152">
      <c r="A152" s="1" t="s">
        <v>367</v>
      </c>
      <c r="B152" s="1" t="s">
        <v>368</v>
      </c>
      <c r="C152" s="1" t="s">
        <v>66</v>
      </c>
      <c r="D152" s="1" t="str">
        <f>IFERROR(
  VLOOKUP(C152, category_map!A:B, 2, FALSE),
  C152
)
</f>
        <v>Bữa ăn/Mì ống</v>
      </c>
      <c r="E152" s="1">
        <v>680.0</v>
      </c>
      <c r="F152" s="2">
        <v>35.0</v>
      </c>
      <c r="G152" s="3">
        <v>45.0</v>
      </c>
      <c r="H152" s="3">
        <v>38.0</v>
      </c>
      <c r="I152" s="1">
        <v>4.0</v>
      </c>
      <c r="J152" s="3">
        <v>5.0</v>
      </c>
      <c r="K152" s="1">
        <v>980.0</v>
      </c>
      <c r="L152" s="1">
        <v>120.0</v>
      </c>
      <c r="M152" s="1" t="s">
        <v>41</v>
      </c>
      <c r="N152" s="1">
        <v>250.0</v>
      </c>
    </row>
    <row r="153">
      <c r="A153" s="1" t="s">
        <v>369</v>
      </c>
      <c r="B153" s="1" t="s">
        <v>370</v>
      </c>
      <c r="C153" s="1" t="s">
        <v>20</v>
      </c>
      <c r="D153" s="1" t="str">
        <f>IFERROR(
  VLOOKUP(C153, category_map!A:B, 2, FALSE),
  C153
)
</f>
        <v>Ngũ cốc</v>
      </c>
      <c r="E153" s="1">
        <v>160.0</v>
      </c>
      <c r="F153" s="2">
        <v>4.0</v>
      </c>
      <c r="G153" s="3">
        <v>28.0</v>
      </c>
      <c r="H153" s="3">
        <v>3.0</v>
      </c>
      <c r="I153" s="1">
        <v>1.0</v>
      </c>
      <c r="J153" s="3">
        <v>2.0</v>
      </c>
      <c r="K153" s="1">
        <v>350.0</v>
      </c>
      <c r="L153" s="1">
        <v>0.0</v>
      </c>
      <c r="M153" s="1" t="s">
        <v>41</v>
      </c>
      <c r="N153" s="1">
        <v>0.0</v>
      </c>
    </row>
    <row r="154">
      <c r="A154" s="1" t="s">
        <v>371</v>
      </c>
      <c r="B154" s="1" t="s">
        <v>372</v>
      </c>
      <c r="C154" s="1" t="s">
        <v>32</v>
      </c>
      <c r="D154" s="1" t="str">
        <f>IFERROR(
  VLOOKUP(C154, category_map!A:B, 2, FALSE),
  C154
)
</f>
        <v>Bữa ăn/Chất đạm</v>
      </c>
      <c r="E154" s="1">
        <v>510.0</v>
      </c>
      <c r="F154" s="2">
        <v>30.0</v>
      </c>
      <c r="G154" s="3">
        <v>12.0</v>
      </c>
      <c r="H154" s="3">
        <v>38.0</v>
      </c>
      <c r="I154" s="1">
        <v>7.0</v>
      </c>
      <c r="J154" s="3">
        <v>6.0</v>
      </c>
      <c r="K154" s="1">
        <v>800.0</v>
      </c>
      <c r="L154" s="1">
        <v>210.0</v>
      </c>
      <c r="M154" s="1" t="s">
        <v>33</v>
      </c>
      <c r="N154" s="1">
        <v>500.0</v>
      </c>
    </row>
    <row r="155">
      <c r="A155" s="1" t="s">
        <v>373</v>
      </c>
      <c r="B155" s="1" t="s">
        <v>374</v>
      </c>
      <c r="C155" s="1" t="s">
        <v>153</v>
      </c>
      <c r="D155" s="1" t="str">
        <f>IFERROR(
  VLOOKUP(C155, category_map!A:B, 2, FALSE),
  C155
)
</f>
        <v>Gia vị</v>
      </c>
      <c r="E155" s="1">
        <v>150.0</v>
      </c>
      <c r="F155" s="2">
        <v>1.0</v>
      </c>
      <c r="G155" s="3">
        <v>2.0</v>
      </c>
      <c r="H155" s="3">
        <v>16.0</v>
      </c>
      <c r="I155" s="1">
        <v>0.0</v>
      </c>
      <c r="J155" s="3">
        <v>1.0</v>
      </c>
      <c r="K155" s="1">
        <v>320.0</v>
      </c>
      <c r="L155" s="1">
        <v>10.0</v>
      </c>
      <c r="M155" s="1" t="s">
        <v>33</v>
      </c>
      <c r="N155" s="1">
        <v>0.0</v>
      </c>
    </row>
    <row r="156">
      <c r="A156" s="1" t="s">
        <v>375</v>
      </c>
      <c r="B156" s="1" t="s">
        <v>376</v>
      </c>
      <c r="C156" s="1" t="s">
        <v>28</v>
      </c>
      <c r="D156" s="1" t="str">
        <f>IFERROR(
  VLOOKUP(C156, category_map!A:B, 2, FALSE),
  C156
)
</f>
        <v>Trái cây</v>
      </c>
      <c r="E156" s="1">
        <v>37.0</v>
      </c>
      <c r="F156" s="2" t="s">
        <v>47</v>
      </c>
      <c r="G156" s="3">
        <v>46090.0</v>
      </c>
      <c r="H156" s="3" t="s">
        <v>55</v>
      </c>
      <c r="I156" s="4">
        <v>46082.0</v>
      </c>
      <c r="J156" s="3">
        <v>46088.0</v>
      </c>
      <c r="K156" s="1">
        <v>1.0</v>
      </c>
      <c r="L156" s="1">
        <v>0.0</v>
      </c>
      <c r="M156" s="1" t="s">
        <v>37</v>
      </c>
      <c r="N156" s="1">
        <v>0.0</v>
      </c>
    </row>
    <row r="157">
      <c r="A157" s="1" t="s">
        <v>377</v>
      </c>
      <c r="B157" s="1" t="s">
        <v>378</v>
      </c>
      <c r="C157" s="1" t="s">
        <v>58</v>
      </c>
      <c r="D157" s="1" t="str">
        <f>IFERROR(
  VLOOKUP(C157, category_map!A:B, 2, FALSE),
  C157
)
</f>
        <v>Hạt</v>
      </c>
      <c r="E157" s="1">
        <v>163.0</v>
      </c>
      <c r="F157" s="2">
        <v>46085.0</v>
      </c>
      <c r="G157" s="3">
        <v>46062.0</v>
      </c>
      <c r="H157" s="3">
        <v>46035.0</v>
      </c>
      <c r="I157" s="1" t="s">
        <v>224</v>
      </c>
      <c r="J157" s="3">
        <v>46113.0</v>
      </c>
      <c r="K157" s="1">
        <v>140.0</v>
      </c>
      <c r="L157" s="1">
        <v>0.0</v>
      </c>
      <c r="M157" s="1" t="s">
        <v>37</v>
      </c>
      <c r="N157" s="1">
        <v>0.0</v>
      </c>
    </row>
    <row r="158">
      <c r="A158" s="1" t="s">
        <v>379</v>
      </c>
      <c r="B158" s="1" t="s">
        <v>380</v>
      </c>
      <c r="C158" s="1" t="s">
        <v>74</v>
      </c>
      <c r="D158" s="1" t="str">
        <f>IFERROR(
  VLOOKUP(C158, category_map!A:B, 2, FALSE),
  C158
)
</f>
        <v>Ngũ cốc/Chế biến</v>
      </c>
      <c r="E158" s="1">
        <v>180.0</v>
      </c>
      <c r="F158" s="2">
        <v>4.0</v>
      </c>
      <c r="G158" s="3">
        <v>30.0</v>
      </c>
      <c r="H158" s="3">
        <v>5.0</v>
      </c>
      <c r="I158" s="1">
        <v>1.0</v>
      </c>
      <c r="J158" s="3">
        <v>4.0</v>
      </c>
      <c r="K158" s="1">
        <v>400.0</v>
      </c>
      <c r="L158" s="1">
        <v>0.0</v>
      </c>
      <c r="M158" s="1" t="s">
        <v>17</v>
      </c>
      <c r="N158" s="1">
        <v>0.0</v>
      </c>
    </row>
    <row r="159">
      <c r="A159" s="1" t="s">
        <v>381</v>
      </c>
      <c r="B159" s="1" t="s">
        <v>382</v>
      </c>
      <c r="C159" s="1" t="s">
        <v>23</v>
      </c>
      <c r="D159" s="1" t="str">
        <f>IFERROR(
  VLOOKUP(C159, category_map!A:B, 2, FALSE),
  C159
)
</f>
        <v>Đồ uống</v>
      </c>
      <c r="E159" s="1">
        <v>0.0</v>
      </c>
      <c r="F159" s="2">
        <v>0.0</v>
      </c>
      <c r="G159" s="3">
        <v>0.0</v>
      </c>
      <c r="H159" s="3">
        <v>0.0</v>
      </c>
      <c r="I159" s="1">
        <v>0.0</v>
      </c>
      <c r="J159" s="3">
        <v>0.0</v>
      </c>
      <c r="K159" s="1">
        <v>40.0</v>
      </c>
      <c r="L159" s="1">
        <v>0.0</v>
      </c>
      <c r="M159" s="1" t="s">
        <v>33</v>
      </c>
      <c r="N159" s="1">
        <v>355.0</v>
      </c>
    </row>
    <row r="160">
      <c r="A160" s="1" t="s">
        <v>383</v>
      </c>
      <c r="B160" s="1" t="s">
        <v>384</v>
      </c>
      <c r="C160" s="1" t="s">
        <v>216</v>
      </c>
      <c r="D160" s="1" t="str">
        <f>IFERROR(
  VLOOKUP(C160, category_map!A:B, 2, FALSE),
  C160
)
</f>
        <v>Bữa ăn/Thịt</v>
      </c>
      <c r="E160" s="1">
        <v>480.0</v>
      </c>
      <c r="F160" s="2">
        <v>25.0</v>
      </c>
      <c r="G160" s="3">
        <v>48.0</v>
      </c>
      <c r="H160" s="3">
        <v>20.0</v>
      </c>
      <c r="I160" s="1">
        <v>3.0</v>
      </c>
      <c r="J160" s="3">
        <v>15.0</v>
      </c>
      <c r="K160" s="1">
        <v>900.0</v>
      </c>
      <c r="L160" s="1">
        <v>75.0</v>
      </c>
      <c r="M160" s="1" t="s">
        <v>33</v>
      </c>
      <c r="N160" s="1">
        <v>250.0</v>
      </c>
    </row>
    <row r="161">
      <c r="A161" s="1" t="s">
        <v>385</v>
      </c>
      <c r="B161" s="1" t="s">
        <v>386</v>
      </c>
      <c r="C161" s="1" t="s">
        <v>58</v>
      </c>
      <c r="D161" s="1" t="str">
        <f>IFERROR(
  VLOOKUP(C161, category_map!A:B, 2, FALSE),
  C161
)
</f>
        <v>Hạt</v>
      </c>
      <c r="E161" s="1">
        <v>204.0</v>
      </c>
      <c r="F161" s="2">
        <v>46055.0</v>
      </c>
      <c r="G161" s="3">
        <v>46268.0</v>
      </c>
      <c r="H161" s="3">
        <v>46163.0</v>
      </c>
      <c r="I161" s="4">
        <v>46114.0</v>
      </c>
      <c r="J161" s="3">
        <v>46082.0</v>
      </c>
      <c r="K161" s="1">
        <v>1.0</v>
      </c>
      <c r="L161" s="1">
        <v>0.0</v>
      </c>
      <c r="M161" s="1" t="s">
        <v>37</v>
      </c>
      <c r="N161" s="1">
        <v>0.0</v>
      </c>
    </row>
    <row r="162">
      <c r="A162" s="1" t="s">
        <v>387</v>
      </c>
      <c r="B162" s="1" t="s">
        <v>388</v>
      </c>
      <c r="C162" s="1" t="s">
        <v>231</v>
      </c>
      <c r="D162" s="1" t="str">
        <f>IFERROR(
  VLOOKUP(C162, category_map!A:B, 2, FALSE),
  C162
)
</f>
        <v>Bữa ăn/Hải sản</v>
      </c>
      <c r="E162" s="1">
        <v>340.0</v>
      </c>
      <c r="F162" s="2">
        <v>20.0</v>
      </c>
      <c r="G162" s="3">
        <v>18.0</v>
      </c>
      <c r="H162" s="3">
        <v>20.0</v>
      </c>
      <c r="I162" s="1">
        <v>1.0</v>
      </c>
      <c r="J162" s="3">
        <v>2.0</v>
      </c>
      <c r="K162" s="1">
        <v>700.0</v>
      </c>
      <c r="L162" s="1">
        <v>120.0</v>
      </c>
      <c r="M162" s="1" t="s">
        <v>41</v>
      </c>
      <c r="N162" s="1">
        <v>250.0</v>
      </c>
    </row>
    <row r="163">
      <c r="A163" s="1" t="s">
        <v>389</v>
      </c>
      <c r="B163" s="1" t="s">
        <v>390</v>
      </c>
      <c r="C163" s="1" t="s">
        <v>153</v>
      </c>
      <c r="D163" s="1" t="str">
        <f>IFERROR(
  VLOOKUP(C163, category_map!A:B, 2, FALSE),
  C163
)
</f>
        <v>Gia vị</v>
      </c>
      <c r="E163" s="1">
        <v>60.0</v>
      </c>
      <c r="F163" s="2" t="s">
        <v>55</v>
      </c>
      <c r="G163" s="3">
        <v>2.0</v>
      </c>
      <c r="H163" s="3">
        <v>46147.0</v>
      </c>
      <c r="I163" s="1" t="s">
        <v>25</v>
      </c>
      <c r="J163" s="3">
        <v>46143.0</v>
      </c>
      <c r="K163" s="1">
        <v>180.0</v>
      </c>
      <c r="L163" s="1">
        <v>5.0</v>
      </c>
      <c r="M163" s="1" t="s">
        <v>41</v>
      </c>
      <c r="N163" s="1">
        <v>0.0</v>
      </c>
    </row>
    <row r="164">
      <c r="A164" s="1" t="s">
        <v>391</v>
      </c>
      <c r="B164" s="1" t="s">
        <v>392</v>
      </c>
      <c r="C164" s="1" t="s">
        <v>144</v>
      </c>
      <c r="D164" s="1" t="str">
        <f>IFERROR(
  VLOOKUP(C164, category_map!A:B, 2, FALSE),
  C164
)
</f>
        <v>Tráng miệng</v>
      </c>
      <c r="E164" s="1">
        <v>150.0</v>
      </c>
      <c r="F164" s="2">
        <v>46143.0</v>
      </c>
      <c r="G164" s="3">
        <v>22.0</v>
      </c>
      <c r="H164" s="3">
        <v>6.0</v>
      </c>
      <c r="I164" s="1" t="s">
        <v>36</v>
      </c>
      <c r="J164" s="3">
        <v>15.0</v>
      </c>
      <c r="K164" s="1">
        <v>80.0</v>
      </c>
      <c r="L164" s="1">
        <v>30.0</v>
      </c>
      <c r="M164" s="1" t="s">
        <v>37</v>
      </c>
      <c r="N164" s="1">
        <v>0.0</v>
      </c>
    </row>
    <row r="165">
      <c r="A165" s="1" t="s">
        <v>393</v>
      </c>
      <c r="B165" s="1" t="s">
        <v>394</v>
      </c>
      <c r="C165" s="1" t="s">
        <v>342</v>
      </c>
      <c r="D165" s="1" t="str">
        <f>IFERROR(
  VLOOKUP(C165, category_map!A:B, 2, FALSE),
  C165
)
</f>
        <v>Đồ uống/Sữa thay thế</v>
      </c>
      <c r="E165" s="1">
        <v>30.0</v>
      </c>
      <c r="F165" s="2">
        <v>1.0</v>
      </c>
      <c r="G165" s="3">
        <v>1.0</v>
      </c>
      <c r="H165" s="3">
        <v>46144.0</v>
      </c>
      <c r="I165" s="1">
        <v>1.0</v>
      </c>
      <c r="J165" s="3">
        <v>0.0</v>
      </c>
      <c r="K165" s="1">
        <v>160.0</v>
      </c>
      <c r="L165" s="1">
        <v>0.0</v>
      </c>
      <c r="M165" s="1" t="s">
        <v>17</v>
      </c>
      <c r="N165" s="1">
        <v>240.0</v>
      </c>
    </row>
    <row r="166">
      <c r="A166" s="1" t="s">
        <v>395</v>
      </c>
      <c r="B166" s="1" t="s">
        <v>396</v>
      </c>
      <c r="C166" s="1" t="s">
        <v>20</v>
      </c>
      <c r="D166" s="1" t="str">
        <f>IFERROR(
  VLOOKUP(C166, category_map!A:B, 2, FALSE),
  C166
)
</f>
        <v>Ngũ cốc</v>
      </c>
      <c r="E166" s="1">
        <v>160.0</v>
      </c>
      <c r="F166" s="2">
        <v>3.0</v>
      </c>
      <c r="G166" s="3">
        <v>37.0</v>
      </c>
      <c r="H166" s="3" t="s">
        <v>36</v>
      </c>
      <c r="I166" s="1" t="s">
        <v>36</v>
      </c>
      <c r="J166" s="3">
        <v>4.0</v>
      </c>
      <c r="K166" s="1">
        <v>290.0</v>
      </c>
      <c r="L166" s="1">
        <v>0.0</v>
      </c>
      <c r="M166" s="1" t="s">
        <v>17</v>
      </c>
      <c r="N166" s="1">
        <v>0.0</v>
      </c>
    </row>
    <row r="167">
      <c r="A167" s="1" t="s">
        <v>397</v>
      </c>
      <c r="B167" s="1" t="s">
        <v>398</v>
      </c>
      <c r="C167" s="1" t="s">
        <v>153</v>
      </c>
      <c r="D167" s="1" t="str">
        <f>IFERROR(
  VLOOKUP(C167, category_map!A:B, 2, FALSE),
  C167
)
</f>
        <v>Gia vị</v>
      </c>
      <c r="E167" s="1">
        <v>16.0</v>
      </c>
      <c r="F167" s="2">
        <v>0.0</v>
      </c>
      <c r="G167" s="3">
        <v>4.0</v>
      </c>
      <c r="H167" s="3">
        <v>0.0</v>
      </c>
      <c r="I167" s="1">
        <v>0.0</v>
      </c>
      <c r="J167" s="3">
        <v>4.0</v>
      </c>
      <c r="K167" s="1">
        <v>0.0</v>
      </c>
      <c r="L167" s="1">
        <v>0.0</v>
      </c>
      <c r="M167" s="1" t="s">
        <v>17</v>
      </c>
      <c r="N167" s="1">
        <v>0.0</v>
      </c>
    </row>
    <row r="168">
      <c r="A168" s="1" t="s">
        <v>399</v>
      </c>
      <c r="B168" s="1" t="s">
        <v>400</v>
      </c>
      <c r="C168" s="1" t="s">
        <v>40</v>
      </c>
      <c r="D168" s="1" t="str">
        <f>IFERROR(
  VLOOKUP(C168, category_map!A:B, 2, FALSE),
  C168
)
</f>
        <v>Chất đạm/Cá</v>
      </c>
      <c r="E168" s="1">
        <v>90.0</v>
      </c>
      <c r="F168" s="2">
        <v>20.0</v>
      </c>
      <c r="G168" s="3">
        <v>0.0</v>
      </c>
      <c r="H168" s="3">
        <v>1.0</v>
      </c>
      <c r="I168" s="1">
        <v>0.0</v>
      </c>
      <c r="J168" s="3">
        <v>0.0</v>
      </c>
      <c r="K168" s="1">
        <v>250.0</v>
      </c>
      <c r="L168" s="1">
        <v>35.0</v>
      </c>
      <c r="M168" s="1" t="s">
        <v>33</v>
      </c>
      <c r="N168" s="1">
        <v>0.0</v>
      </c>
    </row>
    <row r="169">
      <c r="A169" s="1" t="s">
        <v>401</v>
      </c>
      <c r="B169" s="1" t="s">
        <v>402</v>
      </c>
      <c r="C169" s="1" t="s">
        <v>153</v>
      </c>
      <c r="D169" s="1" t="str">
        <f>IFERROR(
  VLOOKUP(C169, category_map!A:B, 2, FALSE),
  C169
)
</f>
        <v>Gia vị</v>
      </c>
      <c r="E169" s="1">
        <v>90.0</v>
      </c>
      <c r="F169" s="2" t="s">
        <v>25</v>
      </c>
      <c r="G169" s="3" t="s">
        <v>25</v>
      </c>
      <c r="H169" s="3">
        <v>10.0</v>
      </c>
      <c r="I169" s="1">
        <v>0.0</v>
      </c>
      <c r="J169" s="3" t="s">
        <v>25</v>
      </c>
      <c r="K169" s="1">
        <v>70.0</v>
      </c>
      <c r="L169" s="1">
        <v>5.0</v>
      </c>
      <c r="M169" s="1" t="s">
        <v>33</v>
      </c>
      <c r="N169" s="1">
        <v>0.0</v>
      </c>
    </row>
    <row r="170">
      <c r="A170" s="1" t="s">
        <v>403</v>
      </c>
      <c r="B170" s="1" t="s">
        <v>404</v>
      </c>
      <c r="C170" s="1" t="s">
        <v>46</v>
      </c>
      <c r="D170" s="1" t="str">
        <f>IFERROR(
  VLOOKUP(C170, category_map!A:B, 2, FALSE),
  C170
)
</f>
        <v>Rau củ</v>
      </c>
      <c r="E170" s="1">
        <v>5.0</v>
      </c>
      <c r="F170" s="2" t="s">
        <v>55</v>
      </c>
      <c r="G170" s="3">
        <v>1.0</v>
      </c>
      <c r="H170" s="3" t="s">
        <v>25</v>
      </c>
      <c r="I170" s="1" t="s">
        <v>24</v>
      </c>
      <c r="J170" s="3" t="s">
        <v>36</v>
      </c>
      <c r="K170" s="1">
        <v>300.0</v>
      </c>
      <c r="L170" s="1">
        <v>0.0</v>
      </c>
      <c r="M170" s="1" t="s">
        <v>33</v>
      </c>
      <c r="N170" s="1">
        <v>0.0</v>
      </c>
    </row>
    <row r="171">
      <c r="A171" s="1" t="s">
        <v>405</v>
      </c>
      <c r="B171" s="1" t="s">
        <v>406</v>
      </c>
      <c r="C171" s="1" t="s">
        <v>231</v>
      </c>
      <c r="D171" s="1" t="str">
        <f>IFERROR(
  VLOOKUP(C171, category_map!A:B, 2, FALSE),
  C171
)
</f>
        <v>Bữa ăn/Hải sản</v>
      </c>
      <c r="E171" s="1">
        <v>250.0</v>
      </c>
      <c r="F171" s="2">
        <v>8.0</v>
      </c>
      <c r="G171" s="3">
        <v>12.0</v>
      </c>
      <c r="H171" s="3">
        <v>18.0</v>
      </c>
      <c r="I171" s="1">
        <v>1.0</v>
      </c>
      <c r="J171" s="3">
        <v>3.0</v>
      </c>
      <c r="K171" s="1">
        <v>850.0</v>
      </c>
      <c r="L171" s="1">
        <v>50.0</v>
      </c>
      <c r="M171" s="1" t="s">
        <v>33</v>
      </c>
      <c r="N171" s="1">
        <v>250.0</v>
      </c>
    </row>
    <row r="172">
      <c r="A172" s="1" t="s">
        <v>407</v>
      </c>
      <c r="B172" s="1" t="s">
        <v>408</v>
      </c>
      <c r="C172" s="1" t="s">
        <v>61</v>
      </c>
      <c r="D172" s="1" t="str">
        <f>IFERROR(
  VLOOKUP(C172, category_map!A:B, 2, FALSE),
  C172
)
</f>
        <v>Bữa ăn/Chế biến</v>
      </c>
      <c r="E172" s="1">
        <v>650.0</v>
      </c>
      <c r="F172" s="2">
        <v>28.0</v>
      </c>
      <c r="G172" s="3">
        <v>35.0</v>
      </c>
      <c r="H172" s="3">
        <v>40.0</v>
      </c>
      <c r="I172" s="1">
        <v>5.0</v>
      </c>
      <c r="J172" s="3">
        <v>6.0</v>
      </c>
      <c r="K172" s="1">
        <v>1500.0</v>
      </c>
      <c r="L172" s="1">
        <v>100.0</v>
      </c>
      <c r="M172" s="1" t="s">
        <v>33</v>
      </c>
      <c r="N172" s="1">
        <v>500.0</v>
      </c>
    </row>
    <row r="173">
      <c r="A173" s="1" t="s">
        <v>409</v>
      </c>
      <c r="B173" s="1" t="s">
        <v>410</v>
      </c>
      <c r="C173" s="1" t="s">
        <v>46</v>
      </c>
      <c r="D173" s="1" t="str">
        <f>IFERROR(
  VLOOKUP(C173, category_map!A:B, 2, FALSE),
  C173
)
</f>
        <v>Rau củ</v>
      </c>
      <c r="E173" s="1">
        <v>7.0</v>
      </c>
      <c r="F173" s="2" t="s">
        <v>24</v>
      </c>
      <c r="G173" s="3">
        <v>46143.0</v>
      </c>
      <c r="H173" s="3">
        <v>0.0</v>
      </c>
      <c r="I173" s="1">
        <v>1.0</v>
      </c>
      <c r="J173" s="3" t="s">
        <v>47</v>
      </c>
      <c r="K173" s="1">
        <v>234.0</v>
      </c>
      <c r="L173" s="1">
        <v>0.0</v>
      </c>
      <c r="M173" s="1" t="s">
        <v>33</v>
      </c>
      <c r="N173" s="1">
        <v>0.0</v>
      </c>
    </row>
    <row r="174">
      <c r="A174" s="1" t="s">
        <v>411</v>
      </c>
      <c r="B174" s="1" t="s">
        <v>412</v>
      </c>
      <c r="C174" s="1" t="s">
        <v>46</v>
      </c>
      <c r="D174" s="1" t="str">
        <f>IFERROR(
  VLOOKUP(C174, category_map!A:B, 2, FALSE),
  C174
)
</f>
        <v>Rau củ</v>
      </c>
      <c r="E174" s="1">
        <v>15.0</v>
      </c>
      <c r="F174" s="2">
        <v>46055.0</v>
      </c>
      <c r="G174" s="3">
        <v>46083.0</v>
      </c>
      <c r="H174" s="3" t="s">
        <v>55</v>
      </c>
      <c r="I174" s="1" t="s">
        <v>186</v>
      </c>
      <c r="J174" s="3">
        <v>46113.0</v>
      </c>
      <c r="K174" s="1">
        <v>4.0</v>
      </c>
      <c r="L174" s="1">
        <v>0.0</v>
      </c>
      <c r="M174" s="1" t="s">
        <v>41</v>
      </c>
      <c r="N174" s="1">
        <v>0.0</v>
      </c>
    </row>
    <row r="175">
      <c r="A175" s="1" t="s">
        <v>413</v>
      </c>
      <c r="B175" s="1" t="s">
        <v>414</v>
      </c>
      <c r="C175" s="1" t="s">
        <v>342</v>
      </c>
      <c r="D175" s="1" t="str">
        <f>IFERROR(
  VLOOKUP(C175, category_map!A:B, 2, FALSE),
  C175
)
</f>
        <v>Đồ uống/Sữa thay thế</v>
      </c>
      <c r="E175" s="1">
        <v>110.0</v>
      </c>
      <c r="F175" s="2">
        <v>8.0</v>
      </c>
      <c r="G175" s="3">
        <v>9.0</v>
      </c>
      <c r="H175" s="3">
        <v>46146.0</v>
      </c>
      <c r="I175" s="1">
        <v>2.0</v>
      </c>
      <c r="J175" s="3">
        <v>6.0</v>
      </c>
      <c r="K175" s="1">
        <v>125.0</v>
      </c>
      <c r="L175" s="1">
        <v>0.0</v>
      </c>
      <c r="M175" s="1" t="s">
        <v>17</v>
      </c>
      <c r="N175" s="1">
        <v>240.0</v>
      </c>
    </row>
    <row r="176">
      <c r="A176" s="1" t="s">
        <v>415</v>
      </c>
      <c r="B176" s="1" t="s">
        <v>416</v>
      </c>
      <c r="C176" s="1" t="s">
        <v>216</v>
      </c>
      <c r="D176" s="1" t="str">
        <f>IFERROR(
  VLOOKUP(C176, category_map!A:B, 2, FALSE),
  C176
)
</f>
        <v>Bữa ăn/Thịt</v>
      </c>
      <c r="E176" s="1">
        <v>480.0</v>
      </c>
      <c r="F176" s="2">
        <v>30.0</v>
      </c>
      <c r="G176" s="3">
        <v>20.0</v>
      </c>
      <c r="H176" s="3">
        <v>30.0</v>
      </c>
      <c r="I176" s="1">
        <v>5.0</v>
      </c>
      <c r="J176" s="3">
        <v>8.0</v>
      </c>
      <c r="K176" s="1">
        <v>900.0</v>
      </c>
      <c r="L176" s="1">
        <v>95.0</v>
      </c>
      <c r="M176" s="1" t="s">
        <v>41</v>
      </c>
      <c r="N176" s="1">
        <v>250.0</v>
      </c>
    </row>
    <row r="177">
      <c r="A177" s="1" t="s">
        <v>417</v>
      </c>
      <c r="B177" s="1" t="s">
        <v>418</v>
      </c>
      <c r="C177" s="1" t="s">
        <v>20</v>
      </c>
      <c r="D177" s="1" t="str">
        <f>IFERROR(
  VLOOKUP(C177, category_map!A:B, 2, FALSE),
  C177
)
</f>
        <v>Ngũ cốc</v>
      </c>
      <c r="E177" s="1">
        <v>260.0</v>
      </c>
      <c r="F177" s="2">
        <v>8.0</v>
      </c>
      <c r="G177" s="3">
        <v>45.0</v>
      </c>
      <c r="H177" s="3">
        <v>5.0</v>
      </c>
      <c r="I177" s="1">
        <v>2.0</v>
      </c>
      <c r="J177" s="3">
        <v>3.0</v>
      </c>
      <c r="K177" s="1">
        <v>450.0</v>
      </c>
      <c r="L177" s="1">
        <v>10.0</v>
      </c>
      <c r="M177" s="1" t="s">
        <v>41</v>
      </c>
      <c r="N177" s="1">
        <v>0.0</v>
      </c>
    </row>
    <row r="178">
      <c r="A178" s="1" t="s">
        <v>419</v>
      </c>
      <c r="B178" s="1" t="s">
        <v>420</v>
      </c>
      <c r="C178" s="1" t="s">
        <v>46</v>
      </c>
      <c r="D178" s="1" t="str">
        <f>IFERROR(
  VLOOKUP(C178, category_map!A:B, 2, FALSE),
  C178
)
</f>
        <v>Rau củ</v>
      </c>
      <c r="E178" s="1">
        <v>40.0</v>
      </c>
      <c r="F178" s="2">
        <v>1.0</v>
      </c>
      <c r="G178" s="3">
        <v>5.0</v>
      </c>
      <c r="H178" s="3">
        <v>2.0</v>
      </c>
      <c r="I178" s="1">
        <v>1.0</v>
      </c>
      <c r="J178" s="3">
        <v>4.0</v>
      </c>
      <c r="K178" s="1">
        <v>200.0</v>
      </c>
      <c r="L178" s="1">
        <v>0.0</v>
      </c>
      <c r="M178" s="1" t="s">
        <v>41</v>
      </c>
      <c r="N178" s="1">
        <v>0.0</v>
      </c>
    </row>
    <row r="179">
      <c r="A179" s="1" t="s">
        <v>421</v>
      </c>
      <c r="B179" s="1" t="s">
        <v>422</v>
      </c>
      <c r="C179" s="1" t="s">
        <v>23</v>
      </c>
      <c r="D179" s="1" t="str">
        <f>IFERROR(
  VLOOKUP(C179, category_map!A:B, 2, FALSE),
  C179
)
</f>
        <v>Đồ uống</v>
      </c>
      <c r="E179" s="1">
        <v>100.0</v>
      </c>
      <c r="F179" s="2">
        <v>0.0</v>
      </c>
      <c r="G179" s="3">
        <v>0.0</v>
      </c>
      <c r="H179" s="3">
        <v>0.0</v>
      </c>
      <c r="I179" s="1">
        <v>0.0</v>
      </c>
      <c r="J179" s="3">
        <v>0.0</v>
      </c>
      <c r="K179" s="1">
        <v>5.0</v>
      </c>
      <c r="L179" s="1">
        <v>0.0</v>
      </c>
      <c r="M179" s="1" t="s">
        <v>37</v>
      </c>
      <c r="N179" s="1">
        <v>180.0</v>
      </c>
    </row>
    <row r="180">
      <c r="A180" s="1" t="s">
        <v>423</v>
      </c>
      <c r="B180" s="1" t="s">
        <v>424</v>
      </c>
      <c r="C180" s="1" t="s">
        <v>144</v>
      </c>
      <c r="D180" s="1" t="str">
        <f>IFERROR(
  VLOOKUP(C180, category_map!A:B, 2, FALSE),
  C180
)
</f>
        <v>Tráng miệng</v>
      </c>
      <c r="E180" s="1">
        <v>350.0</v>
      </c>
      <c r="F180" s="2">
        <v>6.0</v>
      </c>
      <c r="G180" s="3">
        <v>40.0</v>
      </c>
      <c r="H180" s="3">
        <v>19.0</v>
      </c>
      <c r="I180" s="1">
        <v>3.0</v>
      </c>
      <c r="J180" s="3">
        <v>15.0</v>
      </c>
      <c r="K180" s="1">
        <v>300.0</v>
      </c>
      <c r="L180" s="1">
        <v>40.0</v>
      </c>
      <c r="M180" s="1" t="s">
        <v>17</v>
      </c>
      <c r="N180" s="1">
        <v>250.0</v>
      </c>
    </row>
    <row r="181">
      <c r="A181" s="1" t="s">
        <v>425</v>
      </c>
      <c r="B181" s="1" t="s">
        <v>426</v>
      </c>
      <c r="C181" s="1" t="s">
        <v>61</v>
      </c>
      <c r="D181" s="1" t="str">
        <f>IFERROR(
  VLOOKUP(C181, category_map!A:B, 2, FALSE),
  C181
)
</f>
        <v>Bữa ăn/Chế biến</v>
      </c>
      <c r="E181" s="1">
        <v>380.0</v>
      </c>
      <c r="F181" s="2">
        <v>18.0</v>
      </c>
      <c r="G181" s="3">
        <v>45.0</v>
      </c>
      <c r="H181" s="3">
        <v>15.0</v>
      </c>
      <c r="I181" s="1">
        <v>3.0</v>
      </c>
      <c r="J181" s="3">
        <v>25.0</v>
      </c>
      <c r="K181" s="1">
        <v>750.0</v>
      </c>
      <c r="L181" s="1">
        <v>50.0</v>
      </c>
      <c r="M181" s="1" t="s">
        <v>41</v>
      </c>
      <c r="N181" s="1">
        <v>0.0</v>
      </c>
    </row>
    <row r="182">
      <c r="A182" s="1" t="s">
        <v>427</v>
      </c>
      <c r="B182" s="1" t="s">
        <v>428</v>
      </c>
      <c r="C182" s="1" t="s">
        <v>211</v>
      </c>
      <c r="D182" s="1" t="str">
        <f>IFERROR(
  VLOOKUP(C182, category_map!A:B, 2, FALSE),
  C182
)
</f>
        <v>Bữa ăn/Rau củ</v>
      </c>
      <c r="E182" s="1">
        <v>65.0</v>
      </c>
      <c r="F182" s="2">
        <v>5.0</v>
      </c>
      <c r="G182" s="3">
        <v>6.0</v>
      </c>
      <c r="H182" s="3">
        <v>2.0</v>
      </c>
      <c r="I182" s="1" t="s">
        <v>36</v>
      </c>
      <c r="J182" s="3">
        <v>1.0</v>
      </c>
      <c r="K182" s="1">
        <v>780.0</v>
      </c>
      <c r="L182" s="1">
        <v>50.0</v>
      </c>
      <c r="M182" s="1" t="s">
        <v>41</v>
      </c>
      <c r="N182" s="1">
        <v>0.0</v>
      </c>
    </row>
    <row r="183">
      <c r="A183" s="1" t="s">
        <v>429</v>
      </c>
      <c r="B183" s="1" t="s">
        <v>430</v>
      </c>
      <c r="C183" s="1" t="s">
        <v>50</v>
      </c>
      <c r="D183" s="1" t="str">
        <f>IFERROR(
  VLOOKUP(C183, category_map!A:B, 2, FALSE),
  C183
)
</f>
        <v>Sản phẩm từ sữa</v>
      </c>
      <c r="E183" s="1">
        <v>80.0</v>
      </c>
      <c r="F183" s="2">
        <v>6.0</v>
      </c>
      <c r="G183" s="3">
        <v>1.0</v>
      </c>
      <c r="H183" s="3">
        <v>6.0</v>
      </c>
      <c r="I183" s="1">
        <v>0.0</v>
      </c>
      <c r="J183" s="3">
        <v>0.0</v>
      </c>
      <c r="K183" s="1">
        <v>210.0</v>
      </c>
      <c r="L183" s="1">
        <v>20.0</v>
      </c>
      <c r="M183" s="1" t="s">
        <v>37</v>
      </c>
      <c r="N183" s="1">
        <v>0.0</v>
      </c>
    </row>
    <row r="184">
      <c r="A184" s="1" t="s">
        <v>431</v>
      </c>
      <c r="B184" s="1" t="s">
        <v>432</v>
      </c>
      <c r="C184" s="1" t="s">
        <v>99</v>
      </c>
      <c r="D184" s="1" t="str">
        <f>IFERROR(
  VLOOKUP(C184, category_map!A:B, 2, FALSE),
  C184
)
</f>
        <v>Chất đạm/Thịt</v>
      </c>
      <c r="E184" s="1">
        <v>160.0</v>
      </c>
      <c r="F184" s="2">
        <v>22.0</v>
      </c>
      <c r="G184" s="3">
        <v>2.0</v>
      </c>
      <c r="H184" s="3">
        <v>8.0</v>
      </c>
      <c r="I184" s="1">
        <v>0.0</v>
      </c>
      <c r="J184" s="3">
        <v>1.0</v>
      </c>
      <c r="K184" s="1">
        <v>400.0</v>
      </c>
      <c r="L184" s="1">
        <v>70.0</v>
      </c>
      <c r="M184" s="1" t="s">
        <v>33</v>
      </c>
      <c r="N184" s="1">
        <v>250.0</v>
      </c>
    </row>
    <row r="185">
      <c r="A185" s="1" t="s">
        <v>433</v>
      </c>
      <c r="B185" s="1" t="s">
        <v>434</v>
      </c>
      <c r="C185" s="1" t="s">
        <v>153</v>
      </c>
      <c r="D185" s="1" t="str">
        <f>IFERROR(
  VLOOKUP(C185, category_map!A:B, 2, FALSE),
  C185
)
</f>
        <v>Gia vị</v>
      </c>
      <c r="E185" s="1">
        <v>10.0</v>
      </c>
      <c r="F185" s="2" t="s">
        <v>36</v>
      </c>
      <c r="G185" s="3">
        <v>1.0</v>
      </c>
      <c r="H185" s="3" t="s">
        <v>36</v>
      </c>
      <c r="I185" s="1" t="s">
        <v>36</v>
      </c>
      <c r="J185" s="3">
        <v>0.0</v>
      </c>
      <c r="K185" s="1">
        <v>160.0</v>
      </c>
      <c r="L185" s="1">
        <v>0.0</v>
      </c>
      <c r="M185" s="1" t="s">
        <v>33</v>
      </c>
      <c r="N185" s="1">
        <v>0.0</v>
      </c>
    </row>
    <row r="186">
      <c r="A186" s="1" t="s">
        <v>435</v>
      </c>
      <c r="B186" s="1" t="s">
        <v>436</v>
      </c>
      <c r="C186" s="1" t="s">
        <v>211</v>
      </c>
      <c r="D186" s="1" t="str">
        <f>IFERROR(
  VLOOKUP(C186, category_map!A:B, 2, FALSE),
  C186
)
</f>
        <v>Bữa ăn/Rau củ</v>
      </c>
      <c r="E186" s="1">
        <v>180.0</v>
      </c>
      <c r="F186" s="2">
        <v>2.0</v>
      </c>
      <c r="G186" s="3">
        <v>19.0</v>
      </c>
      <c r="H186" s="3">
        <v>11.0</v>
      </c>
      <c r="I186" s="1">
        <v>2.0</v>
      </c>
      <c r="J186" s="3">
        <v>3.0</v>
      </c>
      <c r="K186" s="1">
        <v>500.0</v>
      </c>
      <c r="L186" s="1">
        <v>10.0</v>
      </c>
      <c r="M186" s="1" t="s">
        <v>33</v>
      </c>
      <c r="N186" s="1">
        <v>0.0</v>
      </c>
    </row>
    <row r="187">
      <c r="A187" s="1" t="s">
        <v>437</v>
      </c>
      <c r="B187" s="1" t="s">
        <v>438</v>
      </c>
      <c r="C187" s="1" t="s">
        <v>23</v>
      </c>
      <c r="D187" s="1" t="str">
        <f>IFERROR(
  VLOOKUP(C187, category_map!A:B, 2, FALSE),
  C187
)
</f>
        <v>Đồ uống</v>
      </c>
      <c r="E187" s="1">
        <v>130.0</v>
      </c>
      <c r="F187" s="2">
        <v>0.0</v>
      </c>
      <c r="G187" s="3">
        <v>33.0</v>
      </c>
      <c r="H187" s="3">
        <v>0.0</v>
      </c>
      <c r="I187" s="1">
        <v>0.0</v>
      </c>
      <c r="J187" s="3">
        <v>30.0</v>
      </c>
      <c r="K187" s="1">
        <v>10.0</v>
      </c>
      <c r="L187" s="1">
        <v>0.0</v>
      </c>
      <c r="M187" s="1" t="s">
        <v>17</v>
      </c>
      <c r="N187" s="1">
        <v>240.0</v>
      </c>
    </row>
    <row r="188">
      <c r="A188" s="1" t="s">
        <v>439</v>
      </c>
      <c r="B188" s="1" t="s">
        <v>440</v>
      </c>
      <c r="C188" s="1" t="s">
        <v>46</v>
      </c>
      <c r="D188" s="1" t="str">
        <f>IFERROR(
  VLOOKUP(C188, category_map!A:B, 2, FALSE),
  C188
)
</f>
        <v>Rau củ</v>
      </c>
      <c r="E188" s="1">
        <v>7.0</v>
      </c>
      <c r="F188" s="2" t="s">
        <v>224</v>
      </c>
      <c r="G188" s="3">
        <v>46023.0</v>
      </c>
      <c r="H188" s="3" t="s">
        <v>25</v>
      </c>
      <c r="I188" s="1" t="s">
        <v>186</v>
      </c>
      <c r="J188" s="3" t="s">
        <v>25</v>
      </c>
      <c r="K188" s="1">
        <v>24.0</v>
      </c>
      <c r="L188" s="1">
        <v>0.0</v>
      </c>
      <c r="M188" s="1" t="s">
        <v>33</v>
      </c>
      <c r="N188" s="1">
        <v>0.0</v>
      </c>
    </row>
    <row r="189">
      <c r="A189" s="1" t="s">
        <v>441</v>
      </c>
      <c r="B189" s="1" t="s">
        <v>442</v>
      </c>
      <c r="C189" s="1" t="s">
        <v>216</v>
      </c>
      <c r="D189" s="1" t="str">
        <f>IFERROR(
  VLOOKUP(C189, category_map!A:B, 2, FALSE),
  C189
)
</f>
        <v>Bữa ăn/Thịt</v>
      </c>
      <c r="E189" s="1">
        <v>350.0</v>
      </c>
      <c r="F189" s="2">
        <v>30.0</v>
      </c>
      <c r="G189" s="3">
        <v>10.0</v>
      </c>
      <c r="H189" s="3">
        <v>20.0</v>
      </c>
      <c r="I189" s="1">
        <v>1.0</v>
      </c>
      <c r="J189" s="3">
        <v>2.0</v>
      </c>
      <c r="K189" s="1">
        <v>600.0</v>
      </c>
      <c r="L189" s="1">
        <v>90.0</v>
      </c>
      <c r="M189" s="1" t="s">
        <v>41</v>
      </c>
      <c r="N189" s="1">
        <v>250.0</v>
      </c>
    </row>
    <row r="190">
      <c r="A190" s="1" t="s">
        <v>443</v>
      </c>
      <c r="B190" s="1" t="s">
        <v>444</v>
      </c>
      <c r="C190" s="1" t="s">
        <v>20</v>
      </c>
      <c r="D190" s="1" t="str">
        <f>IFERROR(
  VLOOKUP(C190, category_map!A:B, 2, FALSE),
  C190
)
</f>
        <v>Ngũ cốc</v>
      </c>
      <c r="E190" s="1">
        <v>200.0</v>
      </c>
      <c r="F190" s="2">
        <v>7.0</v>
      </c>
      <c r="G190" s="3">
        <v>42.0</v>
      </c>
      <c r="H190" s="3">
        <v>1.0</v>
      </c>
      <c r="I190" s="1">
        <v>2.0</v>
      </c>
      <c r="J190" s="3">
        <v>1.0</v>
      </c>
      <c r="K190" s="1">
        <v>1.0</v>
      </c>
      <c r="L190" s="1">
        <v>0.0</v>
      </c>
      <c r="M190" s="1" t="s">
        <v>41</v>
      </c>
      <c r="N190" s="1">
        <v>0.0</v>
      </c>
    </row>
    <row r="191">
      <c r="A191" s="1" t="s">
        <v>445</v>
      </c>
      <c r="B191" s="1" t="s">
        <v>446</v>
      </c>
      <c r="C191" s="1" t="s">
        <v>153</v>
      </c>
      <c r="D191" s="1" t="str">
        <f>IFERROR(
  VLOOKUP(C191, category_map!A:B, 2, FALSE),
  C191
)
</f>
        <v>Gia vị</v>
      </c>
      <c r="E191" s="1">
        <v>120.0</v>
      </c>
      <c r="F191" s="2">
        <v>0.0</v>
      </c>
      <c r="G191" s="3">
        <v>0.0</v>
      </c>
      <c r="H191" s="3">
        <v>14.0</v>
      </c>
      <c r="I191" s="1">
        <v>0.0</v>
      </c>
      <c r="J191" s="3">
        <v>0.0</v>
      </c>
      <c r="K191" s="1">
        <v>0.0</v>
      </c>
      <c r="L191" s="1">
        <v>0.0</v>
      </c>
      <c r="M191" s="1" t="s">
        <v>41</v>
      </c>
      <c r="N191" s="1">
        <v>0.0</v>
      </c>
    </row>
    <row r="192">
      <c r="A192" s="1" t="s">
        <v>447</v>
      </c>
      <c r="B192" s="1" t="s">
        <v>448</v>
      </c>
      <c r="C192" s="1" t="s">
        <v>46</v>
      </c>
      <c r="D192" s="1" t="str">
        <f>IFERROR(
  VLOOKUP(C192, category_map!A:B, 2, FALSE),
  C192
)
</f>
        <v>Rau củ</v>
      </c>
      <c r="E192" s="1">
        <v>4.0</v>
      </c>
      <c r="F192" s="2" t="s">
        <v>55</v>
      </c>
      <c r="G192" s="3" t="s">
        <v>224</v>
      </c>
      <c r="H192" s="3">
        <v>0.0</v>
      </c>
      <c r="I192" s="1" t="s">
        <v>25</v>
      </c>
      <c r="J192" s="3">
        <v>0.0</v>
      </c>
      <c r="K192" s="1">
        <v>1.0</v>
      </c>
      <c r="L192" s="1">
        <v>0.0</v>
      </c>
      <c r="M192" s="1" t="s">
        <v>41</v>
      </c>
      <c r="N192" s="1">
        <v>0.0</v>
      </c>
    </row>
    <row r="193">
      <c r="A193" s="1" t="s">
        <v>449</v>
      </c>
      <c r="B193" s="1" t="s">
        <v>450</v>
      </c>
      <c r="C193" s="1" t="s">
        <v>451</v>
      </c>
      <c r="D193" s="1" t="str">
        <f>IFERROR(
  VLOOKUP(C193, category_map!A:B, 2, FALSE),
  C193
)
</f>
        <v>Chất đạm/Chế biến</v>
      </c>
      <c r="E193" s="1">
        <v>110.0</v>
      </c>
      <c r="F193" s="2">
        <v>6.0</v>
      </c>
      <c r="G193" s="3">
        <v>1.0</v>
      </c>
      <c r="H193" s="3">
        <v>9.0</v>
      </c>
      <c r="I193" s="1">
        <v>0.0</v>
      </c>
      <c r="J193" s="3" t="s">
        <v>36</v>
      </c>
      <c r="K193" s="1">
        <v>500.0</v>
      </c>
      <c r="L193" s="1">
        <v>30.0</v>
      </c>
      <c r="M193" s="1" t="s">
        <v>37</v>
      </c>
      <c r="N193" s="1">
        <v>0.0</v>
      </c>
    </row>
    <row r="194">
      <c r="A194" s="1" t="s">
        <v>452</v>
      </c>
      <c r="B194" s="1" t="s">
        <v>453</v>
      </c>
      <c r="C194" s="1" t="s">
        <v>50</v>
      </c>
      <c r="D194" s="1" t="str">
        <f>IFERROR(
  VLOOKUP(C194, category_map!A:B, 2, FALSE),
  C194
)
</f>
        <v>Sản phẩm từ sữa</v>
      </c>
      <c r="E194" s="1">
        <v>100.0</v>
      </c>
      <c r="F194" s="2">
        <v>7.0</v>
      </c>
      <c r="G194" s="3">
        <v>1.0</v>
      </c>
      <c r="H194" s="3">
        <v>8.0</v>
      </c>
      <c r="I194" s="1">
        <v>0.0</v>
      </c>
      <c r="J194" s="3" t="s">
        <v>36</v>
      </c>
      <c r="K194" s="1">
        <v>250.0</v>
      </c>
      <c r="L194" s="1">
        <v>20.0</v>
      </c>
      <c r="M194" s="1" t="s">
        <v>37</v>
      </c>
      <c r="N194" s="1">
        <v>0.0</v>
      </c>
    </row>
    <row r="195">
      <c r="A195" s="1" t="s">
        <v>454</v>
      </c>
      <c r="B195" s="1" t="s">
        <v>455</v>
      </c>
      <c r="C195" s="1" t="s">
        <v>23</v>
      </c>
      <c r="D195" s="1" t="str">
        <f>IFERROR(
  VLOOKUP(C195, category_map!A:B, 2, FALSE),
  C195
)
</f>
        <v>Đồ uống</v>
      </c>
      <c r="E195" s="1">
        <v>124.0</v>
      </c>
      <c r="F195" s="2">
        <v>0.0</v>
      </c>
      <c r="G195" s="3">
        <v>32.0</v>
      </c>
      <c r="H195" s="3">
        <v>0.0</v>
      </c>
      <c r="I195" s="1">
        <v>0.0</v>
      </c>
      <c r="J195" s="3">
        <v>31.0</v>
      </c>
      <c r="K195" s="1">
        <v>40.0</v>
      </c>
      <c r="L195" s="1">
        <v>0.0</v>
      </c>
      <c r="M195" s="1" t="s">
        <v>37</v>
      </c>
      <c r="N195" s="1">
        <v>355.0</v>
      </c>
    </row>
    <row r="196">
      <c r="A196" s="1" t="s">
        <v>456</v>
      </c>
      <c r="B196" s="1" t="s">
        <v>457</v>
      </c>
      <c r="C196" s="1" t="s">
        <v>231</v>
      </c>
      <c r="D196" s="1" t="str">
        <f>IFERROR(
  VLOOKUP(C196, category_map!A:B, 2, FALSE),
  C196
)
</f>
        <v>Bữa ăn/Hải sản</v>
      </c>
      <c r="E196" s="1">
        <v>380.0</v>
      </c>
      <c r="F196" s="2">
        <v>22.0</v>
      </c>
      <c r="G196" s="3">
        <v>40.0</v>
      </c>
      <c r="H196" s="3">
        <v>15.0</v>
      </c>
      <c r="I196" s="1">
        <v>3.0</v>
      </c>
      <c r="J196" s="3">
        <v>3.0</v>
      </c>
      <c r="K196" s="1">
        <v>750.0</v>
      </c>
      <c r="L196" s="1">
        <v>140.0</v>
      </c>
      <c r="M196" s="1" t="s">
        <v>41</v>
      </c>
      <c r="N196" s="1">
        <v>0.0</v>
      </c>
    </row>
    <row r="197">
      <c r="A197" s="1" t="s">
        <v>458</v>
      </c>
      <c r="B197" s="1" t="s">
        <v>459</v>
      </c>
      <c r="C197" s="1" t="s">
        <v>144</v>
      </c>
      <c r="D197" s="1" t="str">
        <f>IFERROR(
  VLOOKUP(C197, category_map!A:B, 2, FALSE),
  C197
)
</f>
        <v>Tráng miệng</v>
      </c>
      <c r="E197" s="1">
        <v>450.0</v>
      </c>
      <c r="F197" s="2">
        <v>7.0</v>
      </c>
      <c r="G197" s="3">
        <v>42.0</v>
      </c>
      <c r="H197" s="3">
        <v>28.0</v>
      </c>
      <c r="I197" s="1">
        <v>2.0</v>
      </c>
      <c r="J197" s="3">
        <v>25.0</v>
      </c>
      <c r="K197" s="1">
        <v>150.0</v>
      </c>
      <c r="L197" s="1">
        <v>180.0</v>
      </c>
      <c r="M197" s="1" t="s">
        <v>37</v>
      </c>
      <c r="N197" s="1">
        <v>250.0</v>
      </c>
    </row>
    <row r="198">
      <c r="A198" s="1" t="s">
        <v>460</v>
      </c>
      <c r="B198" s="1" t="s">
        <v>461</v>
      </c>
      <c r="C198" s="1" t="s">
        <v>258</v>
      </c>
      <c r="D198" s="1" t="str">
        <f>IFERROR(
  VLOOKUP(C198, category_map!A:B, 2, FALSE),
  C198
)
</f>
        <v>Đồ ăn nhẹ/Chế biến</v>
      </c>
      <c r="E198" s="1">
        <v>140.0</v>
      </c>
      <c r="F198" s="2">
        <v>2.0</v>
      </c>
      <c r="G198" s="3">
        <v>30.0</v>
      </c>
      <c r="H198" s="3">
        <v>3.0</v>
      </c>
      <c r="I198" s="1">
        <v>1.0</v>
      </c>
      <c r="J198" s="3">
        <v>15.0</v>
      </c>
      <c r="K198" s="1">
        <v>110.0</v>
      </c>
      <c r="L198" s="1">
        <v>0.0</v>
      </c>
      <c r="M198" s="1" t="s">
        <v>17</v>
      </c>
      <c r="N198" s="1">
        <v>250.0</v>
      </c>
    </row>
    <row r="199">
      <c r="A199" s="1" t="s">
        <v>462</v>
      </c>
      <c r="B199" s="1" t="s">
        <v>463</v>
      </c>
      <c r="C199" s="1" t="s">
        <v>216</v>
      </c>
      <c r="D199" s="1" t="str">
        <f>IFERROR(
  VLOOKUP(C199, category_map!A:B, 2, FALSE),
  C199
)
</f>
        <v>Bữa ăn/Thịt</v>
      </c>
      <c r="E199" s="1">
        <v>550.0</v>
      </c>
      <c r="F199" s="2">
        <v>40.0</v>
      </c>
      <c r="G199" s="3">
        <v>30.0</v>
      </c>
      <c r="H199" s="3">
        <v>30.0</v>
      </c>
      <c r="I199" s="1">
        <v>4.0</v>
      </c>
      <c r="J199" s="3">
        <v>7.0</v>
      </c>
      <c r="K199" s="1">
        <v>1100.0</v>
      </c>
      <c r="L199" s="1">
        <v>130.0</v>
      </c>
      <c r="M199" s="1" t="s">
        <v>41</v>
      </c>
      <c r="N199" s="1">
        <v>250.0</v>
      </c>
    </row>
    <row r="200">
      <c r="A200" s="1" t="s">
        <v>464</v>
      </c>
      <c r="B200" s="1" t="s">
        <v>465</v>
      </c>
      <c r="C200" s="1" t="s">
        <v>20</v>
      </c>
      <c r="D200" s="1" t="str">
        <f>IFERROR(
  VLOOKUP(C200, category_map!A:B, 2, FALSE),
  C200
)
</f>
        <v>Ngũ cốc</v>
      </c>
      <c r="E200" s="1">
        <v>100.0</v>
      </c>
      <c r="F200" s="2">
        <v>46145.0</v>
      </c>
      <c r="G200" s="3">
        <v>21.0</v>
      </c>
      <c r="H200" s="3" t="s">
        <v>36</v>
      </c>
      <c r="I200" s="1">
        <v>1.0</v>
      </c>
      <c r="J200" s="3" t="s">
        <v>36</v>
      </c>
      <c r="K200" s="1">
        <v>0.0</v>
      </c>
      <c r="L200" s="1">
        <v>0.0</v>
      </c>
      <c r="M200" s="1" t="s">
        <v>41</v>
      </c>
      <c r="N200" s="1">
        <v>0.0</v>
      </c>
    </row>
    <row r="201">
      <c r="A201" s="1" t="s">
        <v>466</v>
      </c>
      <c r="B201" s="1" t="s">
        <v>467</v>
      </c>
      <c r="C201" s="1" t="s">
        <v>23</v>
      </c>
      <c r="D201" s="1" t="str">
        <f>IFERROR(
  VLOOKUP(C201, category_map!A:B, 2, FALSE),
  C201
)
</f>
        <v>Đồ uống</v>
      </c>
      <c r="E201" s="1">
        <v>200.0</v>
      </c>
      <c r="F201" s="2">
        <v>3.0</v>
      </c>
      <c r="G201" s="3">
        <v>30.0</v>
      </c>
      <c r="H201" s="3">
        <v>8.0</v>
      </c>
      <c r="I201" s="1">
        <v>2.0</v>
      </c>
      <c r="J201" s="3">
        <v>25.0</v>
      </c>
      <c r="K201" s="1">
        <v>160.0</v>
      </c>
      <c r="L201" s="1">
        <v>10.0</v>
      </c>
      <c r="M201" s="1" t="s">
        <v>37</v>
      </c>
      <c r="N201" s="1">
        <v>240.0</v>
      </c>
    </row>
    <row r="202">
      <c r="A202" s="1" t="s">
        <v>468</v>
      </c>
      <c r="B202" s="1" t="s">
        <v>469</v>
      </c>
      <c r="C202" s="1" t="s">
        <v>231</v>
      </c>
      <c r="D202" s="1" t="str">
        <f>IFERROR(
  VLOOKUP(C202, category_map!A:B, 2, FALSE),
  C202
)
</f>
        <v>Bữa ăn/Hải sản</v>
      </c>
      <c r="E202" s="1">
        <v>320.0</v>
      </c>
      <c r="F202" s="2">
        <v>10.0</v>
      </c>
      <c r="G202" s="3">
        <v>25.0</v>
      </c>
      <c r="H202" s="3">
        <v>20.0</v>
      </c>
      <c r="I202" s="1">
        <v>3.0</v>
      </c>
      <c r="J202" s="3">
        <v>8.0</v>
      </c>
      <c r="K202" s="1">
        <v>600.0</v>
      </c>
      <c r="L202" s="1">
        <v>80.0</v>
      </c>
      <c r="M202" s="1" t="s">
        <v>41</v>
      </c>
      <c r="N202" s="1">
        <v>0.0</v>
      </c>
    </row>
    <row r="203">
      <c r="A203" s="1" t="s">
        <v>470</v>
      </c>
      <c r="B203" s="1" t="s">
        <v>471</v>
      </c>
      <c r="C203" s="1" t="s">
        <v>153</v>
      </c>
      <c r="D203" s="1" t="str">
        <f>IFERROR(
  VLOOKUP(C203, category_map!A:B, 2, FALSE),
  C203
)
</f>
        <v>Gia vị</v>
      </c>
      <c r="E203" s="1">
        <v>70.0</v>
      </c>
      <c r="F203" s="2">
        <v>0.0</v>
      </c>
      <c r="G203" s="3">
        <v>17.0</v>
      </c>
      <c r="H203" s="3">
        <v>0.0</v>
      </c>
      <c r="I203" s="1" t="s">
        <v>36</v>
      </c>
      <c r="J203" s="3">
        <v>16.0</v>
      </c>
      <c r="K203" s="1">
        <v>450.0</v>
      </c>
      <c r="L203" s="1">
        <v>0.0</v>
      </c>
      <c r="M203" s="1" t="s">
        <v>41</v>
      </c>
      <c r="N203" s="1">
        <v>0.0</v>
      </c>
    </row>
    <row r="204">
      <c r="A204" s="1" t="s">
        <v>472</v>
      </c>
      <c r="B204" s="1" t="s">
        <v>473</v>
      </c>
      <c r="C204" s="1" t="s">
        <v>23</v>
      </c>
      <c r="D204" s="1" t="str">
        <f>IFERROR(
  VLOOKUP(C204, category_map!A:B, 2, FALSE),
  C204
)
</f>
        <v>Đồ uống</v>
      </c>
      <c r="E204" s="1">
        <v>121.0</v>
      </c>
      <c r="F204" s="2" t="s">
        <v>25</v>
      </c>
      <c r="G204" s="3">
        <v>46237.0</v>
      </c>
      <c r="H204" s="3">
        <v>0.0</v>
      </c>
      <c r="I204" s="1">
        <v>0.0</v>
      </c>
      <c r="J204" s="3">
        <v>46113.0</v>
      </c>
      <c r="K204" s="1">
        <v>5.0</v>
      </c>
      <c r="L204" s="1">
        <v>0.0</v>
      </c>
      <c r="M204" s="1" t="s">
        <v>41</v>
      </c>
      <c r="N204" s="1">
        <v>0.0</v>
      </c>
    </row>
    <row r="205">
      <c r="A205" s="1" t="s">
        <v>474</v>
      </c>
      <c r="B205" s="1" t="s">
        <v>475</v>
      </c>
      <c r="C205" s="1" t="s">
        <v>258</v>
      </c>
      <c r="D205" s="1" t="str">
        <f>IFERROR(
  VLOOKUP(C205, category_map!A:B, 2, FALSE),
  C205
)
</f>
        <v>Đồ ăn nhẹ/Chế biến</v>
      </c>
      <c r="E205" s="1">
        <v>190.0</v>
      </c>
      <c r="F205" s="2">
        <v>5.0</v>
      </c>
      <c r="G205" s="3">
        <v>20.0</v>
      </c>
      <c r="H205" s="3">
        <v>12.0</v>
      </c>
      <c r="I205" s="1">
        <v>3.0</v>
      </c>
      <c r="J205" s="3">
        <v>14.0</v>
      </c>
      <c r="K205" s="1">
        <v>50.0</v>
      </c>
      <c r="L205" s="1">
        <v>0.0</v>
      </c>
      <c r="M205" s="1" t="s">
        <v>37</v>
      </c>
      <c r="N205" s="1">
        <v>250.0</v>
      </c>
    </row>
    <row r="206">
      <c r="A206" s="1" t="s">
        <v>476</v>
      </c>
      <c r="B206" s="1" t="s">
        <v>477</v>
      </c>
      <c r="C206" s="1" t="s">
        <v>258</v>
      </c>
      <c r="D206" s="1" t="str">
        <f>IFERROR(
  VLOOKUP(C206, category_map!A:B, 2, FALSE),
  C206
)
</f>
        <v>Đồ ăn nhẹ/Chế biến</v>
      </c>
      <c r="E206" s="1">
        <v>280.0</v>
      </c>
      <c r="F206" s="2">
        <v>4.0</v>
      </c>
      <c r="G206" s="3">
        <v>30.0</v>
      </c>
      <c r="H206" s="3">
        <v>16.0</v>
      </c>
      <c r="I206" s="1">
        <v>3.0</v>
      </c>
      <c r="J206" s="3">
        <v>4.0</v>
      </c>
      <c r="K206" s="1">
        <v>500.0</v>
      </c>
      <c r="L206" s="1">
        <v>0.0</v>
      </c>
      <c r="M206" s="1" t="s">
        <v>37</v>
      </c>
      <c r="N206" s="1">
        <v>0.0</v>
      </c>
    </row>
    <row r="207">
      <c r="A207" s="1" t="s">
        <v>478</v>
      </c>
      <c r="B207" s="1" t="s">
        <v>479</v>
      </c>
      <c r="C207" s="1" t="s">
        <v>111</v>
      </c>
      <c r="D207" s="1" t="str">
        <f>IFERROR(
  VLOOKUP(C207, category_map!A:B, 2, FALSE),
  C207
)
</f>
        <v>Chất đạm</v>
      </c>
      <c r="E207" s="1">
        <v>72.0</v>
      </c>
      <c r="F207" s="2">
        <v>46087.0</v>
      </c>
      <c r="G207" s="3" t="s">
        <v>29</v>
      </c>
      <c r="H207" s="3">
        <v>46238.0</v>
      </c>
      <c r="I207" s="1">
        <v>0.0</v>
      </c>
      <c r="J207" s="3" t="s">
        <v>29</v>
      </c>
      <c r="K207" s="1">
        <v>140.0</v>
      </c>
      <c r="L207" s="1">
        <v>185.0</v>
      </c>
      <c r="M207" s="1" t="s">
        <v>17</v>
      </c>
      <c r="N207" s="1">
        <v>0.0</v>
      </c>
    </row>
    <row r="208">
      <c r="A208" s="1" t="s">
        <v>480</v>
      </c>
      <c r="B208" s="1" t="s">
        <v>481</v>
      </c>
      <c r="C208" s="1" t="s">
        <v>99</v>
      </c>
      <c r="D208" s="1" t="str">
        <f>IFERROR(
  VLOOKUP(C208, category_map!A:B, 2, FALSE),
  C208
)
</f>
        <v>Chất đạm/Thịt</v>
      </c>
      <c r="E208" s="1">
        <v>80.0</v>
      </c>
      <c r="F208" s="2">
        <v>12.0</v>
      </c>
      <c r="G208" s="3">
        <v>1.0</v>
      </c>
      <c r="H208" s="3">
        <v>3.0</v>
      </c>
      <c r="I208" s="1">
        <v>0.0</v>
      </c>
      <c r="J208" s="3">
        <v>1.0</v>
      </c>
      <c r="K208" s="1">
        <v>650.0</v>
      </c>
      <c r="L208" s="1">
        <v>40.0</v>
      </c>
      <c r="M208" s="1" t="s">
        <v>17</v>
      </c>
      <c r="N208" s="1">
        <v>0.0</v>
      </c>
    </row>
    <row r="209">
      <c r="A209" s="1" t="s">
        <v>482</v>
      </c>
      <c r="B209" s="1" t="s">
        <v>483</v>
      </c>
      <c r="C209" s="1" t="s">
        <v>32</v>
      </c>
      <c r="D209" s="1" t="str">
        <f>IFERROR(
  VLOOKUP(C209, category_map!A:B, 2, FALSE),
  C209
)
</f>
        <v>Bữa ăn/Chất đạm</v>
      </c>
      <c r="E209" s="1">
        <v>600.0</v>
      </c>
      <c r="F209" s="2">
        <v>25.0</v>
      </c>
      <c r="G209" s="3">
        <v>30.0</v>
      </c>
      <c r="H209" s="3">
        <v>40.0</v>
      </c>
      <c r="I209" s="1">
        <v>3.0</v>
      </c>
      <c r="J209" s="3">
        <v>4.0</v>
      </c>
      <c r="K209" s="1">
        <v>1100.0</v>
      </c>
      <c r="L209" s="1">
        <v>450.0</v>
      </c>
      <c r="M209" s="1" t="s">
        <v>17</v>
      </c>
      <c r="N209" s="1">
        <v>250.0</v>
      </c>
    </row>
    <row r="210">
      <c r="A210" s="1" t="s">
        <v>484</v>
      </c>
      <c r="B210" s="1" t="s">
        <v>485</v>
      </c>
      <c r="C210" s="1" t="s">
        <v>153</v>
      </c>
      <c r="D210" s="1" t="str">
        <f>IFERROR(
  VLOOKUP(C210, category_map!A:B, 2, FALSE),
  C210
)
</f>
        <v>Gia vị</v>
      </c>
      <c r="E210" s="1">
        <v>110.0</v>
      </c>
      <c r="F210" s="2">
        <v>1.0</v>
      </c>
      <c r="G210" s="3" t="s">
        <v>36</v>
      </c>
      <c r="H210" s="3">
        <v>12.0</v>
      </c>
      <c r="I210" s="1">
        <v>0.0</v>
      </c>
      <c r="J210" s="3" t="s">
        <v>55</v>
      </c>
      <c r="K210" s="1">
        <v>150.0</v>
      </c>
      <c r="L210" s="1">
        <v>50.0</v>
      </c>
      <c r="M210" s="1" t="s">
        <v>17</v>
      </c>
      <c r="N210" s="1">
        <v>0.0</v>
      </c>
    </row>
    <row r="211">
      <c r="A211" s="1" t="s">
        <v>486</v>
      </c>
      <c r="B211" s="1" t="s">
        <v>206</v>
      </c>
      <c r="C211" s="1" t="s">
        <v>258</v>
      </c>
      <c r="D211" s="1" t="str">
        <f>IFERROR(
  VLOOKUP(C211, category_map!A:B, 2, FALSE),
  C211
)
</f>
        <v>Đồ ăn nhẹ/Chế biến</v>
      </c>
      <c r="E211" s="1">
        <v>160.0</v>
      </c>
      <c r="F211" s="2">
        <v>5.0</v>
      </c>
      <c r="G211" s="3">
        <v>6.0</v>
      </c>
      <c r="H211" s="3">
        <v>14.0</v>
      </c>
      <c r="I211" s="1">
        <v>2.0</v>
      </c>
      <c r="J211" s="3">
        <v>2.0</v>
      </c>
      <c r="K211" s="1">
        <v>350.0</v>
      </c>
      <c r="L211" s="1">
        <v>30.0</v>
      </c>
      <c r="M211" s="1" t="s">
        <v>37</v>
      </c>
      <c r="N211" s="1">
        <v>0.0</v>
      </c>
    </row>
    <row r="212">
      <c r="A212" s="1" t="s">
        <v>487</v>
      </c>
      <c r="B212" s="1" t="s">
        <v>488</v>
      </c>
      <c r="C212" s="1" t="s">
        <v>258</v>
      </c>
      <c r="D212" s="1" t="str">
        <f>IFERROR(
  VLOOKUP(C212, category_map!A:B, 2, FALSE),
  C212
)
</f>
        <v>Đồ ăn nhẹ/Chế biến</v>
      </c>
      <c r="E212" s="1">
        <v>140.0</v>
      </c>
      <c r="F212" s="2">
        <v>2.0</v>
      </c>
      <c r="G212" s="3">
        <v>19.0</v>
      </c>
      <c r="H212" s="3">
        <v>7.0</v>
      </c>
      <c r="I212" s="1">
        <v>2.0</v>
      </c>
      <c r="J212" s="3" t="s">
        <v>36</v>
      </c>
      <c r="K212" s="1">
        <v>120.0</v>
      </c>
      <c r="L212" s="1">
        <v>0.0</v>
      </c>
      <c r="M212" s="1" t="s">
        <v>37</v>
      </c>
      <c r="N212" s="1">
        <v>0.0</v>
      </c>
    </row>
    <row r="213">
      <c r="A213" s="1" t="s">
        <v>489</v>
      </c>
      <c r="B213" s="1" t="s">
        <v>490</v>
      </c>
      <c r="C213" s="1" t="s">
        <v>216</v>
      </c>
      <c r="D213" s="1" t="str">
        <f>IFERROR(
  VLOOKUP(C213, category_map!A:B, 2, FALSE),
  C213
)
</f>
        <v>Bữa ăn/Thịt</v>
      </c>
      <c r="E213" s="1">
        <v>280.0</v>
      </c>
      <c r="F213" s="2">
        <v>30.0</v>
      </c>
      <c r="G213" s="3">
        <v>8.0</v>
      </c>
      <c r="H213" s="3">
        <v>14.0</v>
      </c>
      <c r="I213" s="1">
        <v>3.0</v>
      </c>
      <c r="J213" s="3">
        <v>4.0</v>
      </c>
      <c r="K213" s="1">
        <v>500.0</v>
      </c>
      <c r="L213" s="1">
        <v>85.0</v>
      </c>
      <c r="M213" s="1" t="s">
        <v>41</v>
      </c>
      <c r="N213" s="1">
        <v>250.0</v>
      </c>
    </row>
    <row r="214">
      <c r="A214" s="1" t="s">
        <v>491</v>
      </c>
      <c r="B214" s="1" t="s">
        <v>492</v>
      </c>
      <c r="C214" s="1" t="s">
        <v>46</v>
      </c>
      <c r="D214" s="1" t="str">
        <f>IFERROR(
  VLOOKUP(C214, category_map!A:B, 2, FALSE),
  C214
)
</f>
        <v>Rau củ</v>
      </c>
      <c r="E214" s="1">
        <v>60.0</v>
      </c>
      <c r="F214" s="2">
        <v>46143.0</v>
      </c>
      <c r="G214" s="3">
        <v>10.0</v>
      </c>
      <c r="H214" s="3">
        <v>2.0</v>
      </c>
      <c r="I214" s="1">
        <v>3.0</v>
      </c>
      <c r="J214" s="3">
        <v>6.0</v>
      </c>
      <c r="K214" s="1">
        <v>30.0</v>
      </c>
      <c r="L214" s="1">
        <v>0.0</v>
      </c>
      <c r="M214" s="1" t="s">
        <v>41</v>
      </c>
      <c r="N214" s="1">
        <v>0.0</v>
      </c>
    </row>
    <row r="215">
      <c r="A215" s="1" t="s">
        <v>493</v>
      </c>
      <c r="B215" s="1" t="s">
        <v>494</v>
      </c>
      <c r="C215" s="1" t="s">
        <v>85</v>
      </c>
      <c r="D215" s="1" t="str">
        <f>IFERROR(
  VLOOKUP(C215, category_map!A:B, 2, FALSE),
  C215
)
</f>
        <v>Bữa ăn/Chay</v>
      </c>
      <c r="E215" s="1">
        <v>450.0</v>
      </c>
      <c r="F215" s="2">
        <v>15.0</v>
      </c>
      <c r="G215" s="3">
        <v>60.0</v>
      </c>
      <c r="H215" s="3">
        <v>18.0</v>
      </c>
      <c r="I215" s="1">
        <v>12.0</v>
      </c>
      <c r="J215" s="3">
        <v>5.0</v>
      </c>
      <c r="K215" s="1">
        <v>800.0</v>
      </c>
      <c r="L215" s="1">
        <v>0.0</v>
      </c>
      <c r="M215" s="1" t="s">
        <v>33</v>
      </c>
      <c r="N215" s="1">
        <v>500.0</v>
      </c>
    </row>
    <row r="216">
      <c r="A216" s="1" t="s">
        <v>495</v>
      </c>
      <c r="B216" s="1" t="s">
        <v>496</v>
      </c>
      <c r="C216" s="1" t="s">
        <v>23</v>
      </c>
      <c r="D216" s="1" t="str">
        <f>IFERROR(
  VLOOKUP(C216, category_map!A:B, 2, FALSE),
  C216
)
</f>
        <v>Đồ uống</v>
      </c>
      <c r="E216" s="1">
        <v>30.0</v>
      </c>
      <c r="F216" s="2">
        <v>0.0</v>
      </c>
      <c r="G216" s="3">
        <v>7.0</v>
      </c>
      <c r="H216" s="3">
        <v>0.0</v>
      </c>
      <c r="I216" s="1">
        <v>0.0</v>
      </c>
      <c r="J216" s="3">
        <v>6.0</v>
      </c>
      <c r="K216" s="1">
        <v>10.0</v>
      </c>
      <c r="L216" s="1">
        <v>0.0</v>
      </c>
      <c r="M216" s="1" t="s">
        <v>37</v>
      </c>
      <c r="N216" s="1">
        <v>240.0</v>
      </c>
    </row>
    <row r="217">
      <c r="A217" s="1" t="s">
        <v>497</v>
      </c>
      <c r="B217" s="1" t="s">
        <v>498</v>
      </c>
      <c r="C217" s="1" t="s">
        <v>66</v>
      </c>
      <c r="D217" s="1" t="str">
        <f>IFERROR(
  VLOOKUP(C217, category_map!A:B, 2, FALSE),
  C217
)
</f>
        <v>Bữa ăn/Mì ống</v>
      </c>
      <c r="E217" s="1">
        <v>550.0</v>
      </c>
      <c r="F217" s="2">
        <v>30.0</v>
      </c>
      <c r="G217" s="3">
        <v>40.0</v>
      </c>
      <c r="H217" s="3">
        <v>28.0</v>
      </c>
      <c r="I217" s="1">
        <v>4.0</v>
      </c>
      <c r="J217" s="3">
        <v>6.0</v>
      </c>
      <c r="K217" s="1">
        <v>900.0</v>
      </c>
      <c r="L217" s="1">
        <v>100.0</v>
      </c>
      <c r="M217" s="1" t="s">
        <v>41</v>
      </c>
      <c r="N217" s="1">
        <v>0.0</v>
      </c>
    </row>
    <row r="218">
      <c r="A218" s="1" t="s">
        <v>499</v>
      </c>
      <c r="B218" s="1" t="s">
        <v>500</v>
      </c>
      <c r="C218" s="1" t="s">
        <v>20</v>
      </c>
      <c r="D218" s="1" t="str">
        <f>IFERROR(
  VLOOKUP(C218, category_map!A:B, 2, FALSE),
  C218
)
</f>
        <v>Ngũ cốc</v>
      </c>
      <c r="E218" s="1">
        <v>220.0</v>
      </c>
      <c r="F218" s="2">
        <v>8.0</v>
      </c>
      <c r="G218" s="3">
        <v>40.0</v>
      </c>
      <c r="H218" s="3">
        <v>3.0</v>
      </c>
      <c r="I218" s="1">
        <v>2.0</v>
      </c>
      <c r="J218" s="3">
        <v>2.0</v>
      </c>
      <c r="K218" s="1">
        <v>20.0</v>
      </c>
      <c r="L218" s="1">
        <v>50.0</v>
      </c>
      <c r="M218" s="1" t="s">
        <v>41</v>
      </c>
      <c r="N218" s="1">
        <v>0.0</v>
      </c>
    </row>
    <row r="219">
      <c r="A219" s="1" t="s">
        <v>501</v>
      </c>
      <c r="B219" s="1" t="s">
        <v>502</v>
      </c>
      <c r="C219" s="1" t="s">
        <v>50</v>
      </c>
      <c r="D219" s="1" t="str">
        <f>IFERROR(
  VLOOKUP(C219, category_map!A:B, 2, FALSE),
  C219
)
</f>
        <v>Sản phẩm từ sữa</v>
      </c>
      <c r="E219" s="1">
        <v>160.0</v>
      </c>
      <c r="F219" s="2">
        <v>28.0</v>
      </c>
      <c r="G219" s="3">
        <v>6.0</v>
      </c>
      <c r="H219" s="3">
        <v>46144.0</v>
      </c>
      <c r="I219" s="1">
        <v>0.0</v>
      </c>
      <c r="J219" s="3">
        <v>4.0</v>
      </c>
      <c r="K219" s="1">
        <v>820.0</v>
      </c>
      <c r="L219" s="1">
        <v>10.0</v>
      </c>
      <c r="M219" s="1" t="s">
        <v>33</v>
      </c>
      <c r="N219" s="1">
        <v>250.0</v>
      </c>
    </row>
    <row r="220">
      <c r="A220" s="1" t="s">
        <v>503</v>
      </c>
      <c r="B220" s="1" t="s">
        <v>504</v>
      </c>
      <c r="C220" s="1" t="s">
        <v>46</v>
      </c>
      <c r="D220" s="1" t="str">
        <f>IFERROR(
  VLOOKUP(C220, category_map!A:B, 2, FALSE),
  C220
)
</f>
        <v>Rau củ</v>
      </c>
      <c r="E220" s="1">
        <v>22.0</v>
      </c>
      <c r="F220" s="2">
        <v>46023.0</v>
      </c>
      <c r="G220" s="3">
        <v>46238.0</v>
      </c>
      <c r="H220" s="3" t="s">
        <v>55</v>
      </c>
      <c r="I220" s="4">
        <v>46143.0</v>
      </c>
      <c r="J220" s="3">
        <v>46056.0</v>
      </c>
      <c r="K220" s="1">
        <v>6.0</v>
      </c>
      <c r="L220" s="1">
        <v>0.0</v>
      </c>
      <c r="M220" s="1" t="s">
        <v>33</v>
      </c>
      <c r="N220" s="1">
        <v>0.0</v>
      </c>
    </row>
    <row r="221">
      <c r="A221" s="1" t="s">
        <v>505</v>
      </c>
      <c r="B221" s="1" t="s">
        <v>506</v>
      </c>
      <c r="C221" s="1" t="s">
        <v>153</v>
      </c>
      <c r="D221" s="1" t="str">
        <f>IFERROR(
  VLOOKUP(C221, category_map!A:B, 2, FALSE),
  C221
)
</f>
        <v>Gia vị</v>
      </c>
      <c r="E221" s="1">
        <v>6.0</v>
      </c>
      <c r="F221" s="2" t="s">
        <v>55</v>
      </c>
      <c r="G221" s="3">
        <v>46143.0</v>
      </c>
      <c r="H221" s="3" t="s">
        <v>25</v>
      </c>
      <c r="I221" s="1" t="s">
        <v>47</v>
      </c>
      <c r="J221" s="3">
        <v>0.0</v>
      </c>
      <c r="K221" s="1">
        <v>0.0</v>
      </c>
      <c r="L221" s="1">
        <v>0.0</v>
      </c>
      <c r="M221" s="1" t="s">
        <v>33</v>
      </c>
      <c r="N221" s="1">
        <v>0.0</v>
      </c>
    </row>
    <row r="222">
      <c r="A222" s="1" t="s">
        <v>507</v>
      </c>
      <c r="B222" s="1" t="s">
        <v>508</v>
      </c>
      <c r="C222" s="1" t="s">
        <v>144</v>
      </c>
      <c r="D222" s="1" t="str">
        <f>IFERROR(
  VLOOKUP(C222, category_map!A:B, 2, FALSE),
  C222
)
</f>
        <v>Tráng miệng</v>
      </c>
      <c r="E222" s="1">
        <v>150.0</v>
      </c>
      <c r="F222" s="2">
        <v>2.0</v>
      </c>
      <c r="G222" s="3">
        <v>28.0</v>
      </c>
      <c r="H222" s="3">
        <v>4.0</v>
      </c>
      <c r="I222" s="1">
        <v>2.0</v>
      </c>
      <c r="J222" s="3">
        <v>22.0</v>
      </c>
      <c r="K222" s="1">
        <v>130.0</v>
      </c>
      <c r="L222" s="1">
        <v>2.0</v>
      </c>
      <c r="M222" s="1" t="s">
        <v>37</v>
      </c>
      <c r="N222" s="1">
        <v>0.0</v>
      </c>
    </row>
    <row r="223">
      <c r="A223" s="1" t="s">
        <v>509</v>
      </c>
      <c r="B223" s="1" t="s">
        <v>510</v>
      </c>
      <c r="C223" s="1" t="s">
        <v>40</v>
      </c>
      <c r="D223" s="1" t="str">
        <f>IFERROR(
  VLOOKUP(C223, category_map!A:B, 2, FALSE),
  C223
)
</f>
        <v>Chất đạm/Cá</v>
      </c>
      <c r="E223" s="1">
        <v>175.0</v>
      </c>
      <c r="F223" s="2">
        <v>16.0</v>
      </c>
      <c r="G223" s="3">
        <v>0.0</v>
      </c>
      <c r="H223" s="3">
        <v>12.0</v>
      </c>
      <c r="I223" s="1">
        <v>0.0</v>
      </c>
      <c r="J223" s="3">
        <v>0.0</v>
      </c>
      <c r="K223" s="1">
        <v>75.0</v>
      </c>
      <c r="L223" s="1">
        <v>65.0</v>
      </c>
      <c r="M223" s="1" t="s">
        <v>41</v>
      </c>
      <c r="N223" s="1">
        <v>0.0</v>
      </c>
    </row>
    <row r="224">
      <c r="A224" s="1" t="s">
        <v>511</v>
      </c>
      <c r="B224" s="1" t="s">
        <v>512</v>
      </c>
      <c r="C224" s="1" t="s">
        <v>46</v>
      </c>
      <c r="D224" s="1" t="str">
        <f>IFERROR(
  VLOOKUP(C224, category_map!A:B, 2, FALSE),
  C224
)
</f>
        <v>Rau củ</v>
      </c>
      <c r="E224" s="1">
        <v>60.0</v>
      </c>
      <c r="F224" s="2">
        <v>5.0</v>
      </c>
      <c r="G224" s="3">
        <v>10.0</v>
      </c>
      <c r="H224" s="3">
        <v>1.0</v>
      </c>
      <c r="I224" s="1">
        <v>7.0</v>
      </c>
      <c r="J224" s="3">
        <v>1.0</v>
      </c>
      <c r="K224" s="1">
        <v>40.0</v>
      </c>
      <c r="L224" s="1">
        <v>0.0</v>
      </c>
      <c r="M224" s="1" t="s">
        <v>41</v>
      </c>
      <c r="N224" s="1">
        <v>0.0</v>
      </c>
    </row>
    <row r="225">
      <c r="A225" s="1" t="s">
        <v>513</v>
      </c>
      <c r="B225" s="1" t="s">
        <v>514</v>
      </c>
      <c r="C225" s="1" t="s">
        <v>99</v>
      </c>
      <c r="D225" s="1" t="str">
        <f>IFERROR(
  VLOOKUP(C225, category_map!A:B, 2, FALSE),
  C225
)
</f>
        <v>Chất đạm/Thịt</v>
      </c>
      <c r="E225" s="1">
        <v>110.0</v>
      </c>
      <c r="F225" s="2">
        <v>16.0</v>
      </c>
      <c r="G225" s="3">
        <v>2.0</v>
      </c>
      <c r="H225" s="3">
        <v>4.0</v>
      </c>
      <c r="I225" s="1">
        <v>0.0</v>
      </c>
      <c r="J225" s="3">
        <v>46143.0</v>
      </c>
      <c r="K225" s="1">
        <v>950.0</v>
      </c>
      <c r="L225" s="1">
        <v>45.0</v>
      </c>
      <c r="M225" s="1" t="s">
        <v>33</v>
      </c>
      <c r="N225" s="1">
        <v>0.0</v>
      </c>
    </row>
    <row r="226">
      <c r="A226" s="1" t="s">
        <v>515</v>
      </c>
      <c r="B226" s="1" t="s">
        <v>516</v>
      </c>
      <c r="C226" s="1" t="s">
        <v>50</v>
      </c>
      <c r="D226" s="1" t="str">
        <f>IFERROR(
  VLOOKUP(C226, category_map!A:B, 2, FALSE),
  C226
)
</f>
        <v>Sản phẩm từ sữa</v>
      </c>
      <c r="E226" s="1">
        <v>106.0</v>
      </c>
      <c r="F226" s="2">
        <v>46180.0</v>
      </c>
      <c r="G226" s="3">
        <v>1.0</v>
      </c>
      <c r="H226" s="3">
        <v>8.0</v>
      </c>
      <c r="I226" s="1">
        <v>0.0</v>
      </c>
      <c r="J226" s="3" t="s">
        <v>29</v>
      </c>
      <c r="K226" s="1">
        <v>54.0</v>
      </c>
      <c r="L226" s="1">
        <v>26.0</v>
      </c>
      <c r="M226" s="1" t="s">
        <v>33</v>
      </c>
      <c r="N226" s="1">
        <v>0.0</v>
      </c>
    </row>
    <row r="227">
      <c r="A227" s="1" t="s">
        <v>517</v>
      </c>
      <c r="B227" s="1" t="s">
        <v>518</v>
      </c>
      <c r="C227" s="1" t="s">
        <v>20</v>
      </c>
      <c r="D227" s="1" t="str">
        <f>IFERROR(
  VLOOKUP(C227, category_map!A:B, 2, FALSE),
  C227
)
</f>
        <v>Ngũ cốc</v>
      </c>
      <c r="E227" s="1">
        <v>83.0</v>
      </c>
      <c r="F227" s="2">
        <v>46205.0</v>
      </c>
      <c r="G227" s="3">
        <v>46157.0</v>
      </c>
      <c r="H227" s="3">
        <v>46023.0</v>
      </c>
      <c r="I227" s="4">
        <v>46266.0</v>
      </c>
      <c r="J227" s="3">
        <v>46054.0</v>
      </c>
      <c r="K227" s="1">
        <v>170.0</v>
      </c>
      <c r="L227" s="1">
        <v>0.0</v>
      </c>
      <c r="M227" s="1" t="s">
        <v>33</v>
      </c>
      <c r="N227" s="1">
        <v>0.0</v>
      </c>
    </row>
    <row r="228">
      <c r="A228" s="1" t="s">
        <v>519</v>
      </c>
      <c r="B228" s="1" t="s">
        <v>520</v>
      </c>
      <c r="C228" s="1" t="s">
        <v>211</v>
      </c>
      <c r="D228" s="1" t="str">
        <f>IFERROR(
  VLOOKUP(C228, category_map!A:B, 2, FALSE),
  C228
)
</f>
        <v>Bữa ăn/Rau củ</v>
      </c>
      <c r="E228" s="1">
        <v>180.0</v>
      </c>
      <c r="F228" s="2">
        <v>4.0</v>
      </c>
      <c r="G228" s="3">
        <v>25.0</v>
      </c>
      <c r="H228" s="3">
        <v>7.0</v>
      </c>
      <c r="I228" s="1">
        <v>3.0</v>
      </c>
      <c r="J228" s="3">
        <v>4.0</v>
      </c>
      <c r="K228" s="1">
        <v>650.0</v>
      </c>
      <c r="L228" s="1">
        <v>15.0</v>
      </c>
      <c r="M228" s="1" t="s">
        <v>33</v>
      </c>
      <c r="N228" s="1">
        <v>250.0</v>
      </c>
    </row>
    <row r="229">
      <c r="A229" s="1" t="s">
        <v>521</v>
      </c>
      <c r="B229" s="1" t="s">
        <v>522</v>
      </c>
      <c r="C229" s="1" t="s">
        <v>50</v>
      </c>
      <c r="D229" s="1" t="str">
        <f>IFERROR(
  VLOOKUP(C229, category_map!A:B, 2, FALSE),
  C229
)
</f>
        <v>Sản phẩm từ sữa</v>
      </c>
      <c r="E229" s="1">
        <v>95.0</v>
      </c>
      <c r="F229" s="2">
        <v>6.0</v>
      </c>
      <c r="G229" s="3" t="s">
        <v>25</v>
      </c>
      <c r="H229" s="3">
        <v>46272.0</v>
      </c>
      <c r="I229" s="1">
        <v>0.0</v>
      </c>
      <c r="J229" s="3" t="s">
        <v>25</v>
      </c>
      <c r="K229" s="1">
        <v>178.0</v>
      </c>
      <c r="L229" s="1">
        <v>28.0</v>
      </c>
      <c r="M229" s="1" t="s">
        <v>37</v>
      </c>
      <c r="N229" s="1">
        <v>0.0</v>
      </c>
    </row>
    <row r="230">
      <c r="A230" s="1" t="s">
        <v>523</v>
      </c>
      <c r="B230" s="1" t="s">
        <v>524</v>
      </c>
      <c r="C230" s="1" t="s">
        <v>74</v>
      </c>
      <c r="D230" s="1" t="str">
        <f>IFERROR(
  VLOOKUP(C230, category_map!A:B, 2, FALSE),
  C230
)
</f>
        <v>Ngũ cốc/Chế biến</v>
      </c>
      <c r="E230" s="1">
        <v>70.0</v>
      </c>
      <c r="F230" s="2">
        <v>46143.0</v>
      </c>
      <c r="G230" s="3">
        <v>12.0</v>
      </c>
      <c r="H230" s="3">
        <v>46143.0</v>
      </c>
      <c r="I230" s="1" t="s">
        <v>36</v>
      </c>
      <c r="J230" s="3">
        <v>0.0</v>
      </c>
      <c r="K230" s="1">
        <v>150.0</v>
      </c>
      <c r="L230" s="1">
        <v>0.0</v>
      </c>
      <c r="M230" s="1" t="s">
        <v>37</v>
      </c>
      <c r="N230" s="1">
        <v>0.0</v>
      </c>
    </row>
    <row r="231">
      <c r="A231" s="1" t="s">
        <v>525</v>
      </c>
      <c r="B231" s="1" t="s">
        <v>526</v>
      </c>
      <c r="C231" s="1" t="s">
        <v>28</v>
      </c>
      <c r="D231" s="1" t="str">
        <f>IFERROR(
  VLOOKUP(C231, category_map!A:B, 2, FALSE),
  C231
)
</f>
        <v>Trái cây</v>
      </c>
      <c r="E231" s="1">
        <v>52.0</v>
      </c>
      <c r="F231" s="2">
        <v>46023.0</v>
      </c>
      <c r="G231" s="3">
        <v>46066.0</v>
      </c>
      <c r="H231" s="3" t="s">
        <v>55</v>
      </c>
      <c r="I231" s="1">
        <v>2.0</v>
      </c>
      <c r="J231" s="3">
        <v>46150.0</v>
      </c>
      <c r="K231" s="1">
        <v>0.0</v>
      </c>
      <c r="L231" s="1">
        <v>0.0</v>
      </c>
      <c r="M231" s="1" t="s">
        <v>17</v>
      </c>
      <c r="N231" s="1">
        <v>0.0</v>
      </c>
    </row>
    <row r="232">
      <c r="A232" s="1" t="s">
        <v>527</v>
      </c>
      <c r="B232" s="1" t="s">
        <v>528</v>
      </c>
      <c r="C232" s="1" t="s">
        <v>258</v>
      </c>
      <c r="D232" s="1" t="str">
        <f>IFERROR(
  VLOOKUP(C232, category_map!A:B, 2, FALSE),
  C232
)
</f>
        <v>Đồ ăn nhẹ/Chế biến</v>
      </c>
      <c r="E232" s="1">
        <v>130.0</v>
      </c>
      <c r="F232" s="2">
        <v>1.0</v>
      </c>
      <c r="G232" s="3">
        <v>17.0</v>
      </c>
      <c r="H232" s="3">
        <v>7.0</v>
      </c>
      <c r="I232" s="1">
        <v>1.0</v>
      </c>
      <c r="J232" s="3">
        <v>1.0</v>
      </c>
      <c r="K232" s="1">
        <v>220.0</v>
      </c>
      <c r="L232" s="1">
        <v>0.0</v>
      </c>
      <c r="M232" s="1" t="s">
        <v>37</v>
      </c>
      <c r="N232" s="1">
        <v>0.0</v>
      </c>
    </row>
    <row r="233">
      <c r="A233" s="1" t="s">
        <v>529</v>
      </c>
      <c r="B233" s="1" t="s">
        <v>530</v>
      </c>
      <c r="C233" s="1" t="s">
        <v>94</v>
      </c>
      <c r="D233" s="1" t="str">
        <f>IFERROR(
  VLOOKUP(C233, category_map!A:B, 2, FALSE),
  C233
)
</f>
        <v>Bữa ăn/Cá</v>
      </c>
      <c r="E233" s="1">
        <v>420.0</v>
      </c>
      <c r="F233" s="2">
        <v>25.0</v>
      </c>
      <c r="G233" s="3">
        <v>40.0</v>
      </c>
      <c r="H233" s="3">
        <v>18.0</v>
      </c>
      <c r="I233" s="1">
        <v>6.0</v>
      </c>
      <c r="J233" s="3">
        <v>5.0</v>
      </c>
      <c r="K233" s="1">
        <v>700.0</v>
      </c>
      <c r="L233" s="1">
        <v>60.0</v>
      </c>
      <c r="M233" s="1" t="s">
        <v>41</v>
      </c>
      <c r="N233" s="1">
        <v>500.0</v>
      </c>
    </row>
    <row r="234">
      <c r="A234" s="1" t="s">
        <v>531</v>
      </c>
      <c r="B234" s="1" t="s">
        <v>532</v>
      </c>
      <c r="C234" s="1" t="s">
        <v>46</v>
      </c>
      <c r="D234" s="1" t="str">
        <f>IFERROR(
  VLOOKUP(C234, category_map!A:B, 2, FALSE),
  C234
)
</f>
        <v>Rau củ</v>
      </c>
      <c r="E234" s="1">
        <v>60.0</v>
      </c>
      <c r="F234" s="2">
        <v>1.0</v>
      </c>
      <c r="G234" s="3">
        <v>8.0</v>
      </c>
      <c r="H234" s="3">
        <v>3.0</v>
      </c>
      <c r="I234" s="1">
        <v>2.0</v>
      </c>
      <c r="J234" s="3">
        <v>5.0</v>
      </c>
      <c r="K234" s="1">
        <v>120.0</v>
      </c>
      <c r="L234" s="1">
        <v>5.0</v>
      </c>
      <c r="M234" s="1" t="s">
        <v>41</v>
      </c>
      <c r="N234" s="1">
        <v>0.0</v>
      </c>
    </row>
    <row r="235">
      <c r="A235" s="1" t="s">
        <v>533</v>
      </c>
      <c r="B235" s="1" t="s">
        <v>534</v>
      </c>
      <c r="C235" s="1" t="s">
        <v>153</v>
      </c>
      <c r="D235" s="1" t="str">
        <f>IFERROR(
  VLOOKUP(C235, category_map!A:B, 2, FALSE),
  C235
)
</f>
        <v>Gia vị</v>
      </c>
      <c r="E235" s="1">
        <v>11.0</v>
      </c>
      <c r="F235" s="2" t="s">
        <v>55</v>
      </c>
      <c r="G235" s="3">
        <v>46206.0</v>
      </c>
      <c r="H235" s="3">
        <v>0.0</v>
      </c>
      <c r="I235" s="1" t="s">
        <v>29</v>
      </c>
      <c r="J235" s="3" t="s">
        <v>186</v>
      </c>
      <c r="K235" s="1">
        <v>1.0</v>
      </c>
      <c r="L235" s="1">
        <v>0.0</v>
      </c>
      <c r="M235" s="1" t="s">
        <v>41</v>
      </c>
      <c r="N235" s="1">
        <v>0.0</v>
      </c>
    </row>
    <row r="236">
      <c r="A236" s="1" t="s">
        <v>535</v>
      </c>
      <c r="B236" s="1" t="s">
        <v>536</v>
      </c>
      <c r="C236" s="1" t="s">
        <v>23</v>
      </c>
      <c r="D236" s="1" t="str">
        <f>IFERROR(
  VLOOKUP(C236, category_map!A:B, 2, FALSE),
  C236
)
</f>
        <v>Đồ uống</v>
      </c>
      <c r="E236" s="1">
        <v>103.0</v>
      </c>
      <c r="F236" s="2" t="s">
        <v>224</v>
      </c>
      <c r="G236" s="3">
        <v>46239.0</v>
      </c>
      <c r="H236" s="3">
        <v>0.0</v>
      </c>
      <c r="I236" s="1">
        <v>0.0</v>
      </c>
      <c r="J236" s="3" t="s">
        <v>24</v>
      </c>
      <c r="K236" s="1">
        <v>10.0</v>
      </c>
      <c r="L236" s="1">
        <v>0.0</v>
      </c>
      <c r="M236" s="1" t="s">
        <v>37</v>
      </c>
      <c r="N236" s="1">
        <v>355.0</v>
      </c>
    </row>
    <row r="237">
      <c r="A237" s="1" t="s">
        <v>537</v>
      </c>
      <c r="B237" s="1" t="s">
        <v>538</v>
      </c>
      <c r="C237" s="1" t="s">
        <v>144</v>
      </c>
      <c r="D237" s="1" t="str">
        <f>IFERROR(
  VLOOKUP(C237, category_map!A:B, 2, FALSE),
  C237
)
</f>
        <v>Tráng miệng</v>
      </c>
      <c r="E237" s="1">
        <v>340.0</v>
      </c>
      <c r="F237" s="2">
        <v>7.0</v>
      </c>
      <c r="G237" s="3">
        <v>38.0</v>
      </c>
      <c r="H237" s="3">
        <v>18.0</v>
      </c>
      <c r="I237" s="1">
        <v>2.0</v>
      </c>
      <c r="J237" s="3">
        <v>16.0</v>
      </c>
      <c r="K237" s="1">
        <v>300.0</v>
      </c>
      <c r="L237" s="1">
        <v>55.0</v>
      </c>
      <c r="M237" s="1" t="s">
        <v>17</v>
      </c>
      <c r="N237" s="1">
        <v>250.0</v>
      </c>
    </row>
    <row r="238">
      <c r="A238" s="1" t="s">
        <v>539</v>
      </c>
      <c r="B238" s="1" t="s">
        <v>540</v>
      </c>
      <c r="C238" s="1" t="s">
        <v>240</v>
      </c>
      <c r="D238" s="1" t="str">
        <f>IFERROR(
  VLOOKUP(C238, category_map!A:B, 2, FALSE),
  C238
)
</f>
        <v>Đồ uống/Sữa</v>
      </c>
      <c r="E238" s="1">
        <v>104.0</v>
      </c>
      <c r="F238" s="2">
        <v>10.0</v>
      </c>
      <c r="G238" s="3">
        <v>10.0</v>
      </c>
      <c r="H238" s="3">
        <v>46144.0</v>
      </c>
      <c r="I238" s="1">
        <v>0.0</v>
      </c>
      <c r="J238" s="3">
        <v>9.0</v>
      </c>
      <c r="K238" s="1">
        <v>100.0</v>
      </c>
      <c r="L238" s="1">
        <v>10.0</v>
      </c>
      <c r="M238" s="1" t="s">
        <v>17</v>
      </c>
      <c r="N238" s="1">
        <v>240.0</v>
      </c>
    </row>
    <row r="239">
      <c r="A239" s="1" t="s">
        <v>541</v>
      </c>
      <c r="B239" s="1" t="s">
        <v>542</v>
      </c>
      <c r="C239" s="1" t="s">
        <v>66</v>
      </c>
      <c r="D239" s="1" t="str">
        <f>IFERROR(
  VLOOKUP(C239, category_map!A:B, 2, FALSE),
  C239
)
</f>
        <v>Bữa ăn/Mì ống</v>
      </c>
      <c r="E239" s="1">
        <v>210.0</v>
      </c>
      <c r="F239" s="2">
        <v>46146.0</v>
      </c>
      <c r="G239" s="3">
        <v>45.0</v>
      </c>
      <c r="H239" s="3">
        <v>46143.0</v>
      </c>
      <c r="I239" s="1">
        <v>3.0</v>
      </c>
      <c r="J239" s="3">
        <v>2.0</v>
      </c>
      <c r="K239" s="1">
        <v>480.0</v>
      </c>
      <c r="L239" s="1">
        <v>0.0</v>
      </c>
      <c r="M239" s="1" t="s">
        <v>41</v>
      </c>
      <c r="N239" s="1">
        <v>0.0</v>
      </c>
    </row>
    <row r="240">
      <c r="A240" s="1" t="s">
        <v>543</v>
      </c>
      <c r="B240" s="1" t="s">
        <v>544</v>
      </c>
      <c r="C240" s="1" t="s">
        <v>153</v>
      </c>
      <c r="D240" s="1" t="str">
        <f>IFERROR(
  VLOOKUP(C240, category_map!A:B, 2, FALSE),
  C240
)
</f>
        <v>Gia vị</v>
      </c>
      <c r="E240" s="1">
        <v>260.0</v>
      </c>
      <c r="F240" s="2">
        <v>5.0</v>
      </c>
      <c r="G240" s="3">
        <v>4.0</v>
      </c>
      <c r="H240" s="3">
        <v>26.0</v>
      </c>
      <c r="I240" s="1">
        <v>2.0</v>
      </c>
      <c r="J240" s="3">
        <v>1.0</v>
      </c>
      <c r="K240" s="1">
        <v>550.0</v>
      </c>
      <c r="L240" s="1">
        <v>5.0</v>
      </c>
      <c r="M240" s="1" t="s">
        <v>41</v>
      </c>
      <c r="N240" s="1">
        <v>0.0</v>
      </c>
    </row>
    <row r="241">
      <c r="A241" s="1" t="s">
        <v>545</v>
      </c>
      <c r="B241" s="1" t="s">
        <v>546</v>
      </c>
      <c r="C241" s="1" t="s">
        <v>58</v>
      </c>
      <c r="D241" s="1" t="str">
        <f>IFERROR(
  VLOOKUP(C241, category_map!A:B, 2, FALSE),
  C241
)
</f>
        <v>Hạt</v>
      </c>
      <c r="E241" s="1">
        <v>95.0</v>
      </c>
      <c r="F241" s="2">
        <v>2.0</v>
      </c>
      <c r="G241" s="3">
        <v>2.0</v>
      </c>
      <c r="H241" s="3">
        <v>10.0</v>
      </c>
      <c r="I241" s="1" t="s">
        <v>36</v>
      </c>
      <c r="J241" s="3" t="s">
        <v>36</v>
      </c>
      <c r="K241" s="1">
        <v>0.0</v>
      </c>
      <c r="L241" s="1">
        <v>0.0</v>
      </c>
      <c r="M241" s="1" t="s">
        <v>41</v>
      </c>
      <c r="N241" s="1">
        <v>0.0</v>
      </c>
    </row>
    <row r="242">
      <c r="A242" s="1" t="s">
        <v>547</v>
      </c>
      <c r="B242" s="1" t="s">
        <v>548</v>
      </c>
      <c r="C242" s="1" t="s">
        <v>23</v>
      </c>
      <c r="D242" s="1" t="str">
        <f>IFERROR(
  VLOOKUP(C242, category_map!A:B, 2, FALSE),
  C242
)
</f>
        <v>Đồ uống</v>
      </c>
      <c r="E242" s="1">
        <v>190.0</v>
      </c>
      <c r="F242" s="2">
        <v>7.0</v>
      </c>
      <c r="G242" s="3">
        <v>32.0</v>
      </c>
      <c r="H242" s="3">
        <v>4.0</v>
      </c>
      <c r="I242" s="1">
        <v>1.0</v>
      </c>
      <c r="J242" s="3">
        <v>30.0</v>
      </c>
      <c r="K242" s="1">
        <v>105.0</v>
      </c>
      <c r="L242" s="1">
        <v>15.0</v>
      </c>
      <c r="M242" s="1" t="s">
        <v>37</v>
      </c>
      <c r="N242" s="1">
        <v>355.0</v>
      </c>
    </row>
    <row r="243">
      <c r="A243" s="1" t="s">
        <v>549</v>
      </c>
      <c r="B243" s="1" t="s">
        <v>550</v>
      </c>
      <c r="C243" s="1" t="s">
        <v>66</v>
      </c>
      <c r="D243" s="1" t="str">
        <f>IFERROR(
  VLOOKUP(C243, category_map!A:B, 2, FALSE),
  C243
)
</f>
        <v>Bữa ăn/Mì ống</v>
      </c>
      <c r="E243" s="1">
        <v>380.0</v>
      </c>
      <c r="F243" s="2">
        <v>20.0</v>
      </c>
      <c r="G243" s="3">
        <v>35.0</v>
      </c>
      <c r="H243" s="3">
        <v>18.0</v>
      </c>
      <c r="I243" s="1">
        <v>4.0</v>
      </c>
      <c r="J243" s="3">
        <v>7.0</v>
      </c>
      <c r="K243" s="1">
        <v>650.0</v>
      </c>
      <c r="L243" s="1">
        <v>60.0</v>
      </c>
      <c r="M243" s="1" t="s">
        <v>41</v>
      </c>
      <c r="N243" s="1">
        <v>0.0</v>
      </c>
    </row>
    <row r="244">
      <c r="A244" s="1" t="s">
        <v>551</v>
      </c>
      <c r="B244" s="1" t="s">
        <v>552</v>
      </c>
      <c r="C244" s="1" t="s">
        <v>99</v>
      </c>
      <c r="D244" s="1" t="str">
        <f>IFERROR(
  VLOOKUP(C244, category_map!A:B, 2, FALSE),
  C244
)
</f>
        <v>Chất đạm/Thịt</v>
      </c>
      <c r="E244" s="1">
        <v>200.0</v>
      </c>
      <c r="F244" s="2">
        <v>12.0</v>
      </c>
      <c r="G244" s="3">
        <v>3.0</v>
      </c>
      <c r="H244" s="3">
        <v>16.0</v>
      </c>
      <c r="I244" s="1">
        <v>0.0</v>
      </c>
      <c r="J244" s="3">
        <v>1.0</v>
      </c>
      <c r="K244" s="1">
        <v>550.0</v>
      </c>
      <c r="L244" s="1">
        <v>50.0</v>
      </c>
      <c r="M244" s="1" t="s">
        <v>41</v>
      </c>
      <c r="N244" s="1">
        <v>0.0</v>
      </c>
    </row>
    <row r="245">
      <c r="A245" s="1" t="s">
        <v>553</v>
      </c>
      <c r="B245" s="1" t="s">
        <v>554</v>
      </c>
      <c r="C245" s="1" t="s">
        <v>46</v>
      </c>
      <c r="D245" s="1" t="str">
        <f>IFERROR(
  VLOOKUP(C245, category_map!A:B, 2, FALSE),
  C245
)
</f>
        <v>Rau củ</v>
      </c>
      <c r="E245" s="1">
        <v>46.0</v>
      </c>
      <c r="F245" s="2" t="s">
        <v>224</v>
      </c>
      <c r="G245" s="3">
        <v>46183.0</v>
      </c>
      <c r="H245" s="3" t="s">
        <v>25</v>
      </c>
      <c r="I245" s="4">
        <v>46239.0</v>
      </c>
      <c r="J245" s="3">
        <v>46024.0</v>
      </c>
      <c r="K245" s="1">
        <v>5.0</v>
      </c>
      <c r="L245" s="1">
        <v>0.0</v>
      </c>
      <c r="M245" s="1" t="s">
        <v>37</v>
      </c>
      <c r="N245" s="1">
        <v>0.0</v>
      </c>
    </row>
    <row r="246">
      <c r="A246" s="1" t="s">
        <v>555</v>
      </c>
      <c r="B246" s="1" t="s">
        <v>556</v>
      </c>
      <c r="C246" s="1" t="s">
        <v>153</v>
      </c>
      <c r="D246" s="1" t="str">
        <f>IFERROR(
  VLOOKUP(C246, category_map!A:B, 2, FALSE),
  C246
)
</f>
        <v>Gia vị</v>
      </c>
      <c r="E246" s="1">
        <v>8.0</v>
      </c>
      <c r="F246" s="2" t="s">
        <v>24</v>
      </c>
      <c r="G246" s="3">
        <v>46113.0</v>
      </c>
      <c r="H246" s="3" t="s">
        <v>29</v>
      </c>
      <c r="I246" s="1" t="s">
        <v>224</v>
      </c>
      <c r="J246" s="3" t="s">
        <v>55</v>
      </c>
      <c r="K246" s="1">
        <v>10.0</v>
      </c>
      <c r="L246" s="1">
        <v>0.0</v>
      </c>
      <c r="M246" s="1" t="s">
        <v>37</v>
      </c>
      <c r="N246" s="1">
        <v>0.0</v>
      </c>
    </row>
    <row r="247">
      <c r="A247" s="1" t="s">
        <v>557</v>
      </c>
      <c r="B247" s="1" t="s">
        <v>558</v>
      </c>
      <c r="C247" s="1" t="s">
        <v>37</v>
      </c>
      <c r="D247" s="1" t="str">
        <f>IFERROR(
  VLOOKUP(C247, category_map!A:B, 2, FALSE),
  C247
)
</f>
        <v>Đồ ăn nhẹ</v>
      </c>
      <c r="E247" s="1">
        <v>180.0</v>
      </c>
      <c r="F247" s="2">
        <v>6.0</v>
      </c>
      <c r="G247" s="3">
        <v>12.0</v>
      </c>
      <c r="H247" s="3">
        <v>12.0</v>
      </c>
      <c r="I247" s="1">
        <v>3.0</v>
      </c>
      <c r="J247" s="3">
        <v>7.0</v>
      </c>
      <c r="K247" s="1">
        <v>120.0</v>
      </c>
      <c r="L247" s="1">
        <v>0.0</v>
      </c>
      <c r="M247" s="1" t="s">
        <v>37</v>
      </c>
      <c r="N247" s="1">
        <v>250.0</v>
      </c>
    </row>
    <row r="248">
      <c r="A248" s="1" t="s">
        <v>559</v>
      </c>
      <c r="B248" s="1" t="s">
        <v>560</v>
      </c>
      <c r="C248" s="1" t="s">
        <v>79</v>
      </c>
      <c r="D248" s="1" t="str">
        <f>IFERROR(
  VLOOKUP(C248, category_map!A:B, 2, FALSE),
  C248
)
</f>
        <v>Bữa ăn/Đậu</v>
      </c>
      <c r="E248" s="1">
        <v>180.0</v>
      </c>
      <c r="F248" s="2">
        <v>11.0</v>
      </c>
      <c r="G248" s="3">
        <v>30.0</v>
      </c>
      <c r="H248" s="3">
        <v>2.0</v>
      </c>
      <c r="I248" s="1">
        <v>10.0</v>
      </c>
      <c r="J248" s="3">
        <v>6.0</v>
      </c>
      <c r="K248" s="1">
        <v>700.0</v>
      </c>
      <c r="L248" s="1">
        <v>5.0</v>
      </c>
      <c r="M248" s="1" t="s">
        <v>33</v>
      </c>
      <c r="N248" s="1">
        <v>250.0</v>
      </c>
    </row>
    <row r="249">
      <c r="A249" s="1" t="s">
        <v>561</v>
      </c>
      <c r="B249" s="1" t="s">
        <v>562</v>
      </c>
      <c r="C249" s="1" t="s">
        <v>61</v>
      </c>
      <c r="D249" s="1" t="str">
        <f>IFERROR(
  VLOOKUP(C249, category_map!A:B, 2, FALSE),
  C249
)
</f>
        <v>Bữa ăn/Chế biến</v>
      </c>
      <c r="E249" s="1">
        <v>400.0</v>
      </c>
      <c r="F249" s="2">
        <v>15.0</v>
      </c>
      <c r="G249" s="3">
        <v>35.0</v>
      </c>
      <c r="H249" s="3">
        <v>22.0</v>
      </c>
      <c r="I249" s="1">
        <v>2.0</v>
      </c>
      <c r="J249" s="3">
        <v>6.0</v>
      </c>
      <c r="K249" s="1">
        <v>750.0</v>
      </c>
      <c r="L249" s="1">
        <v>60.0</v>
      </c>
      <c r="M249" s="1" t="s">
        <v>17</v>
      </c>
      <c r="N249" s="1">
        <v>250.0</v>
      </c>
    </row>
    <row r="250">
      <c r="A250" s="1" t="s">
        <v>563</v>
      </c>
      <c r="B250" s="1" t="s">
        <v>564</v>
      </c>
      <c r="C250" s="1" t="s">
        <v>23</v>
      </c>
      <c r="D250" s="1" t="str">
        <f>IFERROR(
  VLOOKUP(C250, category_map!A:B, 2, FALSE),
  C250
)
</f>
        <v>Đồ uống</v>
      </c>
      <c r="E250" s="1">
        <v>5.0</v>
      </c>
      <c r="F250" s="2" t="s">
        <v>36</v>
      </c>
      <c r="G250" s="3">
        <v>0.0</v>
      </c>
      <c r="H250" s="3" t="s">
        <v>25</v>
      </c>
      <c r="I250" s="1">
        <v>0.0</v>
      </c>
      <c r="J250" s="3">
        <v>0.0</v>
      </c>
      <c r="K250" s="1">
        <v>1.0</v>
      </c>
      <c r="L250" s="1">
        <v>0.0</v>
      </c>
      <c r="M250" s="1" t="s">
        <v>17</v>
      </c>
      <c r="N250" s="1">
        <v>60.0</v>
      </c>
    </row>
    <row r="251">
      <c r="A251" s="1" t="s">
        <v>565</v>
      </c>
      <c r="B251" s="1" t="s">
        <v>566</v>
      </c>
      <c r="C251" s="1" t="s">
        <v>50</v>
      </c>
      <c r="D251" s="1" t="str">
        <f>IFERROR(
  VLOOKUP(C251, category_map!A:B, 2, FALSE),
  C251
)
</f>
        <v>Sản phẩm từ sữa</v>
      </c>
      <c r="E251" s="1">
        <v>85.0</v>
      </c>
      <c r="F251" s="2">
        <v>46147.0</v>
      </c>
      <c r="G251" s="3">
        <v>46144.0</v>
      </c>
      <c r="H251" s="3">
        <v>6.0</v>
      </c>
      <c r="I251" s="1">
        <v>0.0</v>
      </c>
      <c r="J251" s="3">
        <v>1.0</v>
      </c>
      <c r="K251" s="1">
        <v>50.0</v>
      </c>
      <c r="L251" s="1">
        <v>24.0</v>
      </c>
      <c r="M251" s="1" t="s">
        <v>41</v>
      </c>
      <c r="N251" s="1">
        <v>0.0</v>
      </c>
    </row>
    <row r="252">
      <c r="A252" s="1" t="s">
        <v>567</v>
      </c>
      <c r="B252" s="1" t="s">
        <v>568</v>
      </c>
      <c r="C252" s="1" t="s">
        <v>61</v>
      </c>
      <c r="D252" s="1" t="str">
        <f>IFERROR(
  VLOOKUP(C252, category_map!A:B, 2, FALSE),
  C252
)
</f>
        <v>Bữa ăn/Chế biến</v>
      </c>
      <c r="E252" s="1">
        <v>130.0</v>
      </c>
      <c r="F252" s="2">
        <v>7.0</v>
      </c>
      <c r="G252" s="3">
        <v>18.0</v>
      </c>
      <c r="H252" s="3">
        <v>3.0</v>
      </c>
      <c r="I252" s="1">
        <v>2.0</v>
      </c>
      <c r="J252" s="3">
        <v>2.0</v>
      </c>
      <c r="K252" s="1">
        <v>850.0</v>
      </c>
      <c r="L252" s="1">
        <v>15.0</v>
      </c>
      <c r="M252" s="1" t="s">
        <v>33</v>
      </c>
      <c r="N252" s="1">
        <v>250.0</v>
      </c>
    </row>
    <row r="253">
      <c r="A253" s="1" t="s">
        <v>569</v>
      </c>
      <c r="B253" s="1" t="s">
        <v>570</v>
      </c>
      <c r="C253" s="1" t="s">
        <v>153</v>
      </c>
      <c r="D253" s="1" t="str">
        <f>IFERROR(
  VLOOKUP(C253, category_map!A:B, 2, FALSE),
  C253
)
</f>
        <v>Gia vị</v>
      </c>
      <c r="E253" s="1">
        <v>0.0</v>
      </c>
      <c r="F253" s="2">
        <v>0.0</v>
      </c>
      <c r="G253" s="3">
        <v>0.0</v>
      </c>
      <c r="H253" s="3">
        <v>0.0</v>
      </c>
      <c r="I253" s="1">
        <v>0.0</v>
      </c>
      <c r="J253" s="3">
        <v>0.0</v>
      </c>
      <c r="K253" s="1">
        <v>580.0</v>
      </c>
      <c r="L253" s="1">
        <v>0.0</v>
      </c>
      <c r="M253" s="1" t="s">
        <v>41</v>
      </c>
      <c r="N253" s="1">
        <v>0.0</v>
      </c>
    </row>
    <row r="254">
      <c r="A254" s="1" t="s">
        <v>571</v>
      </c>
      <c r="B254" s="1" t="s">
        <v>572</v>
      </c>
      <c r="C254" s="1" t="s">
        <v>28</v>
      </c>
      <c r="D254" s="1" t="str">
        <f>IFERROR(
  VLOOKUP(C254, category_map!A:B, 2, FALSE),
  C254
)
</f>
        <v>Trái cây</v>
      </c>
      <c r="E254" s="1">
        <v>68.0</v>
      </c>
      <c r="F254" s="2">
        <v>46175.0</v>
      </c>
      <c r="G254" s="3">
        <v>46095.0</v>
      </c>
      <c r="H254" s="3" t="s">
        <v>224</v>
      </c>
      <c r="I254" s="4">
        <v>46117.0</v>
      </c>
      <c r="J254" s="3">
        <v>46273.0</v>
      </c>
      <c r="K254" s="1">
        <v>3.0</v>
      </c>
      <c r="L254" s="1">
        <v>0.0</v>
      </c>
      <c r="M254" s="1" t="s">
        <v>37</v>
      </c>
      <c r="N254" s="1">
        <v>0.0</v>
      </c>
    </row>
    <row r="255">
      <c r="A255" s="1" t="s">
        <v>573</v>
      </c>
      <c r="B255" s="1" t="s">
        <v>574</v>
      </c>
      <c r="C255" s="1" t="s">
        <v>61</v>
      </c>
      <c r="D255" s="1" t="str">
        <f>IFERROR(
  VLOOKUP(C255, category_map!A:B, 2, FALSE),
  C255
)
</f>
        <v>Bữa ăn/Chế biến</v>
      </c>
      <c r="E255" s="1">
        <v>580.0</v>
      </c>
      <c r="F255" s="2">
        <v>35.0</v>
      </c>
      <c r="G255" s="3">
        <v>40.0</v>
      </c>
      <c r="H255" s="3">
        <v>30.0</v>
      </c>
      <c r="I255" s="1">
        <v>5.0</v>
      </c>
      <c r="J255" s="3">
        <v>7.0</v>
      </c>
      <c r="K255" s="1">
        <v>1300.0</v>
      </c>
      <c r="L255" s="1">
        <v>95.0</v>
      </c>
      <c r="M255" s="1" t="s">
        <v>33</v>
      </c>
      <c r="N255" s="1">
        <v>500.0</v>
      </c>
    </row>
    <row r="256">
      <c r="A256" s="1" t="s">
        <v>575</v>
      </c>
      <c r="B256" s="1" t="s">
        <v>576</v>
      </c>
      <c r="C256" s="1" t="s">
        <v>46</v>
      </c>
      <c r="D256" s="1" t="str">
        <f>IFERROR(
  VLOOKUP(C256, category_map!A:B, 2, FALSE),
  C256
)
</f>
        <v>Rau củ</v>
      </c>
      <c r="E256" s="1">
        <v>17.0</v>
      </c>
      <c r="F256" s="2" t="s">
        <v>131</v>
      </c>
      <c r="G256" s="3">
        <v>46206.0</v>
      </c>
      <c r="H256" s="3" t="s">
        <v>55</v>
      </c>
      <c r="I256" s="4">
        <v>46143.0</v>
      </c>
      <c r="J256" s="3">
        <v>46204.0</v>
      </c>
      <c r="K256" s="1">
        <v>1200.0</v>
      </c>
      <c r="L256" s="1">
        <v>0.0</v>
      </c>
      <c r="M256" s="1" t="s">
        <v>37</v>
      </c>
      <c r="N256" s="1">
        <v>0.0</v>
      </c>
    </row>
    <row r="257">
      <c r="A257" s="1" t="s">
        <v>577</v>
      </c>
      <c r="B257" s="1" t="s">
        <v>578</v>
      </c>
      <c r="C257" s="1" t="s">
        <v>216</v>
      </c>
      <c r="D257" s="1" t="str">
        <f>IFERROR(
  VLOOKUP(C257, category_map!A:B, 2, FALSE),
  C257
)
</f>
        <v>Bữa ăn/Thịt</v>
      </c>
      <c r="E257" s="1">
        <v>250.0</v>
      </c>
      <c r="F257" s="2">
        <v>22.0</v>
      </c>
      <c r="G257" s="3">
        <v>25.0</v>
      </c>
      <c r="H257" s="3">
        <v>7.0</v>
      </c>
      <c r="I257" s="1">
        <v>8.0</v>
      </c>
      <c r="J257" s="3">
        <v>6.0</v>
      </c>
      <c r="K257" s="1">
        <v>750.0</v>
      </c>
      <c r="L257" s="1">
        <v>50.0</v>
      </c>
      <c r="M257" s="1" t="s">
        <v>41</v>
      </c>
      <c r="N257" s="1">
        <v>250.0</v>
      </c>
    </row>
    <row r="258">
      <c r="A258" s="1" t="s">
        <v>579</v>
      </c>
      <c r="B258" s="1" t="s">
        <v>580</v>
      </c>
      <c r="C258" s="1" t="s">
        <v>261</v>
      </c>
      <c r="D258" s="1" t="str">
        <f>IFERROR(
  VLOOKUP(C258, category_map!A:B, 2, FALSE),
  C258
)
</f>
        <v>Gia vị/Sữa</v>
      </c>
      <c r="E258" s="1">
        <v>60.0</v>
      </c>
      <c r="F258" s="2" t="s">
        <v>131</v>
      </c>
      <c r="G258" s="3">
        <v>46082.0</v>
      </c>
      <c r="H258" s="3">
        <v>46239.0</v>
      </c>
      <c r="I258" s="1">
        <v>0.0</v>
      </c>
      <c r="J258" s="3" t="s">
        <v>131</v>
      </c>
      <c r="K258" s="1">
        <v>25.0</v>
      </c>
      <c r="L258" s="1">
        <v>12.0</v>
      </c>
      <c r="M258" s="1" t="s">
        <v>41</v>
      </c>
      <c r="N258" s="1">
        <v>0.0</v>
      </c>
    </row>
    <row r="259">
      <c r="A259" s="1" t="s">
        <v>581</v>
      </c>
      <c r="B259" s="1" t="s">
        <v>582</v>
      </c>
      <c r="C259" s="1" t="s">
        <v>50</v>
      </c>
      <c r="D259" s="1" t="str">
        <f>IFERROR(
  VLOOKUP(C259, category_map!A:B, 2, FALSE),
  C259
)
</f>
        <v>Sản phẩm từ sữa</v>
      </c>
      <c r="E259" s="1">
        <v>115.0</v>
      </c>
      <c r="F259" s="2">
        <v>7.0</v>
      </c>
      <c r="G259" s="3">
        <v>1.0</v>
      </c>
      <c r="H259" s="3">
        <v>46151.0</v>
      </c>
      <c r="I259" s="1">
        <v>0.0</v>
      </c>
      <c r="J259" s="3" t="s">
        <v>36</v>
      </c>
      <c r="K259" s="1">
        <v>180.0</v>
      </c>
      <c r="L259" s="1">
        <v>30.0</v>
      </c>
      <c r="M259" s="1" t="s">
        <v>41</v>
      </c>
      <c r="N259" s="1">
        <v>0.0</v>
      </c>
    </row>
    <row r="260">
      <c r="A260" s="1" t="s">
        <v>583</v>
      </c>
      <c r="B260" s="1" t="s">
        <v>584</v>
      </c>
      <c r="C260" s="1" t="s">
        <v>23</v>
      </c>
      <c r="D260" s="1" t="str">
        <f>IFERROR(
  VLOOKUP(C260, category_map!A:B, 2, FALSE),
  C260
)
</f>
        <v>Đồ uống</v>
      </c>
      <c r="E260" s="1">
        <v>180.0</v>
      </c>
      <c r="F260" s="2">
        <v>6.0</v>
      </c>
      <c r="G260" s="3">
        <v>28.0</v>
      </c>
      <c r="H260" s="3">
        <v>5.0</v>
      </c>
      <c r="I260" s="1">
        <v>2.0</v>
      </c>
      <c r="J260" s="3">
        <v>25.0</v>
      </c>
      <c r="K260" s="1">
        <v>90.0</v>
      </c>
      <c r="L260" s="1">
        <v>20.0</v>
      </c>
      <c r="M260" s="1" t="s">
        <v>37</v>
      </c>
      <c r="N260" s="1">
        <v>355.0</v>
      </c>
    </row>
    <row r="261">
      <c r="A261" s="1" t="s">
        <v>585</v>
      </c>
      <c r="B261" s="1" t="s">
        <v>586</v>
      </c>
      <c r="C261" s="1" t="s">
        <v>144</v>
      </c>
      <c r="D261" s="1" t="str">
        <f>IFERROR(
  VLOOKUP(C261, category_map!A:B, 2, FALSE),
  C261
)
</f>
        <v>Tráng miệng</v>
      </c>
      <c r="E261" s="1">
        <v>300.0</v>
      </c>
      <c r="F261" s="2">
        <v>4.0</v>
      </c>
      <c r="G261" s="3">
        <v>35.0</v>
      </c>
      <c r="H261" s="3">
        <v>17.0</v>
      </c>
      <c r="I261" s="1">
        <v>2.0</v>
      </c>
      <c r="J261" s="3">
        <v>18.0</v>
      </c>
      <c r="K261" s="1">
        <v>230.0</v>
      </c>
      <c r="L261" s="1">
        <v>20.0</v>
      </c>
      <c r="M261" s="1" t="s">
        <v>17</v>
      </c>
      <c r="N261" s="1">
        <v>0.0</v>
      </c>
    </row>
    <row r="262">
      <c r="A262" s="1" t="s">
        <v>587</v>
      </c>
      <c r="B262" s="1" t="s">
        <v>588</v>
      </c>
      <c r="C262" s="1" t="s">
        <v>61</v>
      </c>
      <c r="D262" s="1" t="str">
        <f>IFERROR(
  VLOOKUP(C262, category_map!A:B, 2, FALSE),
  C262
)
</f>
        <v>Bữa ăn/Chế biến</v>
      </c>
      <c r="E262" s="1">
        <v>450.0</v>
      </c>
      <c r="F262" s="2">
        <v>25.0</v>
      </c>
      <c r="G262" s="3">
        <v>32.0</v>
      </c>
      <c r="H262" s="3">
        <v>25.0</v>
      </c>
      <c r="I262" s="1">
        <v>3.0</v>
      </c>
      <c r="J262" s="3">
        <v>4.0</v>
      </c>
      <c r="K262" s="1">
        <v>900.0</v>
      </c>
      <c r="L262" s="1">
        <v>50.0</v>
      </c>
      <c r="M262" s="1" t="s">
        <v>33</v>
      </c>
      <c r="N262" s="1">
        <v>250.0</v>
      </c>
    </row>
    <row r="263">
      <c r="A263" s="1" t="s">
        <v>589</v>
      </c>
      <c r="B263" s="1" t="s">
        <v>590</v>
      </c>
      <c r="C263" s="1" t="s">
        <v>23</v>
      </c>
      <c r="D263" s="1" t="str">
        <f>IFERROR(
  VLOOKUP(C263, category_map!A:B, 2, FALSE),
  C263
)
</f>
        <v>Đồ uống</v>
      </c>
      <c r="E263" s="1">
        <v>117.0</v>
      </c>
      <c r="F263" s="2" t="s">
        <v>25</v>
      </c>
      <c r="G263" s="3">
        <v>29.0</v>
      </c>
      <c r="H263" s="3" t="s">
        <v>24</v>
      </c>
      <c r="I263" s="1" t="s">
        <v>36</v>
      </c>
      <c r="J263" s="3">
        <v>27.0</v>
      </c>
      <c r="K263" s="1">
        <v>10.0</v>
      </c>
      <c r="L263" s="1">
        <v>0.0</v>
      </c>
      <c r="M263" s="1" t="s">
        <v>37</v>
      </c>
      <c r="N263" s="1">
        <v>240.0</v>
      </c>
    </row>
    <row r="264">
      <c r="A264" s="1" t="s">
        <v>591</v>
      </c>
      <c r="B264" s="1" t="s">
        <v>592</v>
      </c>
      <c r="C264" s="1" t="s">
        <v>61</v>
      </c>
      <c r="D264" s="1" t="str">
        <f>IFERROR(
  VLOOKUP(C264, category_map!A:B, 2, FALSE),
  C264
)
</f>
        <v>Bữa ăn/Chế biến</v>
      </c>
      <c r="E264" s="1">
        <v>650.0</v>
      </c>
      <c r="F264" s="2">
        <v>30.0</v>
      </c>
      <c r="G264" s="3">
        <v>70.0</v>
      </c>
      <c r="H264" s="3">
        <v>28.0</v>
      </c>
      <c r="I264" s="1">
        <v>10.0</v>
      </c>
      <c r="J264" s="3">
        <v>5.0</v>
      </c>
      <c r="K264" s="1">
        <v>1400.0</v>
      </c>
      <c r="L264" s="1">
        <v>70.0</v>
      </c>
      <c r="M264" s="1" t="s">
        <v>41</v>
      </c>
      <c r="N264" s="1">
        <v>500.0</v>
      </c>
    </row>
    <row r="265">
      <c r="A265" s="1" t="s">
        <v>593</v>
      </c>
      <c r="B265" s="1" t="s">
        <v>594</v>
      </c>
      <c r="C265" s="1" t="s">
        <v>153</v>
      </c>
      <c r="D265" s="1" t="str">
        <f>IFERROR(
  VLOOKUP(C265, category_map!A:B, 2, FALSE),
  C265
)
</f>
        <v>Gia vị</v>
      </c>
      <c r="E265" s="1">
        <v>15.0</v>
      </c>
      <c r="F265" s="2" t="s">
        <v>36</v>
      </c>
      <c r="G265" s="3">
        <v>3.0</v>
      </c>
      <c r="H265" s="3">
        <v>0.0</v>
      </c>
      <c r="I265" s="1">
        <v>1.0</v>
      </c>
      <c r="J265" s="3">
        <v>2.0</v>
      </c>
      <c r="K265" s="1">
        <v>200.0</v>
      </c>
      <c r="L265" s="1">
        <v>0.0</v>
      </c>
      <c r="M265" s="1" t="s">
        <v>41</v>
      </c>
      <c r="N265" s="1">
        <v>0.0</v>
      </c>
    </row>
    <row r="266">
      <c r="A266" s="1" t="s">
        <v>595</v>
      </c>
      <c r="B266" s="1" t="s">
        <v>596</v>
      </c>
      <c r="C266" s="1" t="s">
        <v>20</v>
      </c>
      <c r="D266" s="1" t="str">
        <f>IFERROR(
  VLOOKUP(C266, category_map!A:B, 2, FALSE),
  C266
)
</f>
        <v>Ngũ cốc</v>
      </c>
      <c r="E266" s="1">
        <v>52.0</v>
      </c>
      <c r="F266" s="2">
        <v>46113.0</v>
      </c>
      <c r="G266" s="3">
        <v>46064.0</v>
      </c>
      <c r="H266" s="3" t="s">
        <v>186</v>
      </c>
      <c r="I266" s="4">
        <v>46143.0</v>
      </c>
      <c r="J266" s="3" t="s">
        <v>55</v>
      </c>
      <c r="K266" s="1">
        <v>4.0</v>
      </c>
      <c r="L266" s="1">
        <v>0.0</v>
      </c>
      <c r="M266" s="1" t="s">
        <v>41</v>
      </c>
      <c r="N266" s="1">
        <v>0.0</v>
      </c>
    </row>
    <row r="267">
      <c r="A267" s="1" t="s">
        <v>597</v>
      </c>
      <c r="B267" s="1" t="s">
        <v>598</v>
      </c>
      <c r="C267" s="1" t="s">
        <v>264</v>
      </c>
      <c r="D267" s="1" t="str">
        <f>IFERROR(
  VLOOKUP(C267, category_map!A:B, 2, FALSE),
  C267
)
</f>
        <v>Chất đạm/Hải sản</v>
      </c>
      <c r="E267" s="1">
        <v>146.0</v>
      </c>
      <c r="F267" s="2">
        <v>20.0</v>
      </c>
      <c r="G267" s="3">
        <v>6.0</v>
      </c>
      <c r="H267" s="3">
        <v>4.0</v>
      </c>
      <c r="I267" s="1">
        <v>0.0</v>
      </c>
      <c r="J267" s="3">
        <v>0.0</v>
      </c>
      <c r="K267" s="1">
        <v>310.0</v>
      </c>
      <c r="L267" s="1">
        <v>48.0</v>
      </c>
      <c r="M267" s="1" t="s">
        <v>41</v>
      </c>
      <c r="N267" s="1">
        <v>0.0</v>
      </c>
    </row>
    <row r="268">
      <c r="A268" s="1" t="s">
        <v>599</v>
      </c>
      <c r="B268" s="1" t="s">
        <v>600</v>
      </c>
      <c r="C268" s="1" t="s">
        <v>153</v>
      </c>
      <c r="D268" s="1" t="str">
        <f>IFERROR(
  VLOOKUP(C268, category_map!A:B, 2, FALSE),
  C268
)
</f>
        <v>Gia vị</v>
      </c>
      <c r="E268" s="1">
        <v>80.0</v>
      </c>
      <c r="F268" s="2">
        <v>1.0</v>
      </c>
      <c r="G268" s="3">
        <v>4.0</v>
      </c>
      <c r="H268" s="3">
        <v>6.0</v>
      </c>
      <c r="I268" s="1" t="s">
        <v>36</v>
      </c>
      <c r="J268" s="3">
        <v>2.0</v>
      </c>
      <c r="K268" s="1">
        <v>300.0</v>
      </c>
      <c r="L268" s="1">
        <v>5.0</v>
      </c>
      <c r="M268" s="1" t="s">
        <v>41</v>
      </c>
      <c r="N268" s="1">
        <v>0.0</v>
      </c>
    </row>
    <row r="269">
      <c r="A269" s="1" t="s">
        <v>601</v>
      </c>
      <c r="B269" s="1" t="s">
        <v>602</v>
      </c>
      <c r="C269" s="1" t="s">
        <v>20</v>
      </c>
      <c r="D269" s="1" t="str">
        <f>IFERROR(
  VLOOKUP(C269, category_map!A:B, 2, FALSE),
  C269
)
</f>
        <v>Ngũ cốc</v>
      </c>
      <c r="E269" s="1">
        <v>180.0</v>
      </c>
      <c r="F269" s="2">
        <v>6.0</v>
      </c>
      <c r="G269" s="3">
        <v>36.0</v>
      </c>
      <c r="H269" s="3">
        <v>1.0</v>
      </c>
      <c r="I269" s="1">
        <v>2.0</v>
      </c>
      <c r="J269" s="3">
        <v>2.0</v>
      </c>
      <c r="K269" s="1">
        <v>380.0</v>
      </c>
      <c r="L269" s="1">
        <v>0.0</v>
      </c>
      <c r="M269" s="1" t="s">
        <v>41</v>
      </c>
      <c r="N269" s="1">
        <v>0.0</v>
      </c>
    </row>
    <row r="270">
      <c r="A270" s="1" t="s">
        <v>603</v>
      </c>
      <c r="B270" s="1" t="s">
        <v>604</v>
      </c>
      <c r="C270" s="1" t="s">
        <v>28</v>
      </c>
      <c r="D270" s="1" t="str">
        <f>IFERROR(
  VLOOKUP(C270, category_map!A:B, 2, FALSE),
  C270
)
</f>
        <v>Trái cây</v>
      </c>
      <c r="E270" s="1">
        <v>62.0</v>
      </c>
      <c r="F270" s="2">
        <v>2.0</v>
      </c>
      <c r="G270" s="3">
        <v>46247.0</v>
      </c>
      <c r="H270" s="3" t="s">
        <v>186</v>
      </c>
      <c r="I270" s="4">
        <v>46180.0</v>
      </c>
      <c r="J270" s="3">
        <v>46269.0</v>
      </c>
      <c r="K270" s="1">
        <v>1.0</v>
      </c>
      <c r="L270" s="1">
        <v>0.0</v>
      </c>
      <c r="M270" s="1" t="s">
        <v>37</v>
      </c>
      <c r="N270" s="1">
        <v>0.0</v>
      </c>
    </row>
    <row r="271">
      <c r="A271" s="1" t="s">
        <v>605</v>
      </c>
      <c r="B271" s="1" t="s">
        <v>606</v>
      </c>
      <c r="C271" s="1" t="s">
        <v>144</v>
      </c>
      <c r="D271" s="1" t="str">
        <f>IFERROR(
  VLOOKUP(C271, category_map!A:B, 2, FALSE),
  C271
)
</f>
        <v>Tráng miệng</v>
      </c>
      <c r="E271" s="1">
        <v>340.0</v>
      </c>
      <c r="F271" s="2">
        <v>7.0</v>
      </c>
      <c r="G271" s="3">
        <v>38.0</v>
      </c>
      <c r="H271" s="3">
        <v>18.0</v>
      </c>
      <c r="I271" s="1">
        <v>2.0</v>
      </c>
      <c r="J271" s="3">
        <v>16.0</v>
      </c>
      <c r="K271" s="1">
        <v>300.0</v>
      </c>
      <c r="L271" s="1">
        <v>55.0</v>
      </c>
      <c r="M271" s="1" t="s">
        <v>17</v>
      </c>
      <c r="N271" s="1">
        <v>250.0</v>
      </c>
    </row>
    <row r="272">
      <c r="A272" s="1" t="s">
        <v>607</v>
      </c>
      <c r="B272" s="1" t="s">
        <v>608</v>
      </c>
      <c r="C272" s="1" t="s">
        <v>61</v>
      </c>
      <c r="D272" s="1" t="str">
        <f>IFERROR(
  VLOOKUP(C272, category_map!A:B, 2, FALSE),
  C272
)
</f>
        <v>Bữa ăn/Chế biến</v>
      </c>
      <c r="E272" s="1">
        <v>420.0</v>
      </c>
      <c r="F272" s="2">
        <v>20.0</v>
      </c>
      <c r="G272" s="3">
        <v>35.0</v>
      </c>
      <c r="H272" s="3">
        <v>20.0</v>
      </c>
      <c r="I272" s="1">
        <v>3.0</v>
      </c>
      <c r="J272" s="3">
        <v>5.0</v>
      </c>
      <c r="K272" s="1">
        <v>850.0</v>
      </c>
      <c r="L272" s="1">
        <v>60.0</v>
      </c>
      <c r="M272" s="1" t="s">
        <v>33</v>
      </c>
      <c r="N272" s="1">
        <v>250.0</v>
      </c>
    </row>
    <row r="273">
      <c r="A273" s="1" t="s">
        <v>609</v>
      </c>
      <c r="B273" s="1" t="s">
        <v>610</v>
      </c>
      <c r="C273" s="1" t="s">
        <v>161</v>
      </c>
      <c r="D273" s="1" t="str">
        <f>IFERROR(
  VLOOKUP(C273, category_map!A:B, 2, FALSE),
  C273
)
</f>
        <v>Chất đạm/Chay</v>
      </c>
      <c r="E273" s="1">
        <v>140.0</v>
      </c>
      <c r="F273" s="2">
        <v>10.0</v>
      </c>
      <c r="G273" s="3">
        <v>6.0</v>
      </c>
      <c r="H273" s="3">
        <v>9.0</v>
      </c>
      <c r="I273" s="1">
        <v>3.0</v>
      </c>
      <c r="J273" s="3">
        <v>2.0</v>
      </c>
      <c r="K273" s="1">
        <v>450.0</v>
      </c>
      <c r="L273" s="1">
        <v>0.0</v>
      </c>
      <c r="M273" s="1" t="s">
        <v>17</v>
      </c>
      <c r="N273" s="1">
        <v>0.0</v>
      </c>
    </row>
    <row r="274">
      <c r="A274" s="1" t="s">
        <v>611</v>
      </c>
      <c r="B274" s="1" t="s">
        <v>612</v>
      </c>
      <c r="C274" s="1" t="s">
        <v>46</v>
      </c>
      <c r="D274" s="1" t="str">
        <f>IFERROR(
  VLOOKUP(C274, category_map!A:B, 2, FALSE),
  C274
)
</f>
        <v>Rau củ</v>
      </c>
      <c r="E274" s="1">
        <v>330.0</v>
      </c>
      <c r="F274" s="2">
        <v>3.0</v>
      </c>
      <c r="G274" s="3">
        <v>38.0</v>
      </c>
      <c r="H274" s="3">
        <v>19.0</v>
      </c>
      <c r="I274" s="1">
        <v>3.0</v>
      </c>
      <c r="J274" s="3">
        <v>1.0</v>
      </c>
      <c r="K274" s="1">
        <v>550.0</v>
      </c>
      <c r="L274" s="1">
        <v>0.0</v>
      </c>
      <c r="M274" s="1" t="s">
        <v>17</v>
      </c>
      <c r="N274" s="1">
        <v>0.0</v>
      </c>
    </row>
    <row r="275">
      <c r="A275" s="1" t="s">
        <v>613</v>
      </c>
      <c r="B275" s="1" t="s">
        <v>614</v>
      </c>
      <c r="C275" s="1" t="s">
        <v>153</v>
      </c>
      <c r="D275" s="1" t="str">
        <f>IFERROR(
  VLOOKUP(C275, category_map!A:B, 2, FALSE),
  C275
)
</f>
        <v>Gia vị</v>
      </c>
      <c r="E275" s="1">
        <v>10.0</v>
      </c>
      <c r="F275" s="2" t="s">
        <v>25</v>
      </c>
      <c r="G275" s="3">
        <v>46144.0</v>
      </c>
      <c r="H275" s="3">
        <v>0.0</v>
      </c>
      <c r="I275" s="1" t="s">
        <v>25</v>
      </c>
      <c r="J275" s="3">
        <v>2.0</v>
      </c>
      <c r="K275" s="1">
        <v>90.0</v>
      </c>
      <c r="L275" s="1">
        <v>0.0</v>
      </c>
      <c r="M275" s="1" t="s">
        <v>17</v>
      </c>
      <c r="N275" s="1">
        <v>0.0</v>
      </c>
    </row>
    <row r="276">
      <c r="A276" s="1" t="s">
        <v>615</v>
      </c>
      <c r="B276" s="1" t="s">
        <v>616</v>
      </c>
      <c r="C276" s="1" t="s">
        <v>61</v>
      </c>
      <c r="D276" s="1" t="str">
        <f>IFERROR(
  VLOOKUP(C276, category_map!A:B, 2, FALSE),
  C276
)
</f>
        <v>Bữa ăn/Chế biến</v>
      </c>
      <c r="E276" s="1">
        <v>500.0</v>
      </c>
      <c r="F276" s="2">
        <v>25.0</v>
      </c>
      <c r="G276" s="3">
        <v>40.0</v>
      </c>
      <c r="H276" s="3">
        <v>28.0</v>
      </c>
      <c r="I276" s="1">
        <v>3.0</v>
      </c>
      <c r="J276" s="3">
        <v>5.0</v>
      </c>
      <c r="K276" s="1">
        <v>1100.0</v>
      </c>
      <c r="L276" s="1">
        <v>70.0</v>
      </c>
      <c r="M276" s="1" t="s">
        <v>33</v>
      </c>
      <c r="N276" s="1">
        <v>500.0</v>
      </c>
    </row>
    <row r="277">
      <c r="A277" s="1" t="s">
        <v>617</v>
      </c>
      <c r="B277" s="1" t="s">
        <v>618</v>
      </c>
      <c r="C277" s="1" t="s">
        <v>619</v>
      </c>
      <c r="D277" s="1" t="str">
        <f>IFERROR(
  VLOOKUP(C277, category_map!A:B, 2, FALSE),
  C277
)
</f>
        <v>Gia vị/Chế biến</v>
      </c>
      <c r="E277" s="1">
        <v>90.0</v>
      </c>
      <c r="F277" s="2">
        <v>4.0</v>
      </c>
      <c r="G277" s="3">
        <v>3.0</v>
      </c>
      <c r="H277" s="3">
        <v>7.0</v>
      </c>
      <c r="I277" s="1">
        <v>0.0</v>
      </c>
      <c r="J277" s="3">
        <v>2.0</v>
      </c>
      <c r="K277" s="1">
        <v>540.0</v>
      </c>
      <c r="L277" s="1">
        <v>20.0</v>
      </c>
      <c r="M277" s="1" t="s">
        <v>33</v>
      </c>
      <c r="N277" s="1">
        <v>0.0</v>
      </c>
    </row>
    <row r="278">
      <c r="A278" s="1" t="s">
        <v>620</v>
      </c>
      <c r="B278" s="1" t="s">
        <v>621</v>
      </c>
      <c r="C278" s="1" t="s">
        <v>46</v>
      </c>
      <c r="D278" s="1" t="str">
        <f>IFERROR(
  VLOOKUP(C278, category_map!A:B, 2, FALSE),
  C278
)
</f>
        <v>Rau củ</v>
      </c>
      <c r="E278" s="1">
        <v>30.0</v>
      </c>
      <c r="F278" s="2" t="s">
        <v>36</v>
      </c>
      <c r="G278" s="3">
        <v>5.0</v>
      </c>
      <c r="H278" s="3">
        <v>1.0</v>
      </c>
      <c r="I278" s="1">
        <v>1.0</v>
      </c>
      <c r="J278" s="3">
        <v>3.0</v>
      </c>
      <c r="K278" s="1">
        <v>5.0</v>
      </c>
      <c r="L278" s="1">
        <v>0.0</v>
      </c>
      <c r="M278" s="1" t="s">
        <v>33</v>
      </c>
      <c r="N278" s="1">
        <v>0.0</v>
      </c>
    </row>
    <row r="279">
      <c r="A279" s="1" t="s">
        <v>622</v>
      </c>
      <c r="B279" s="1" t="s">
        <v>623</v>
      </c>
      <c r="C279" s="1" t="s">
        <v>28</v>
      </c>
      <c r="D279" s="1" t="str">
        <f>IFERROR(
  VLOOKUP(C279, category_map!A:B, 2, FALSE),
  C279
)
</f>
        <v>Trái cây</v>
      </c>
      <c r="E279" s="1">
        <v>64.0</v>
      </c>
      <c r="F279" s="2">
        <v>46143.0</v>
      </c>
      <c r="G279" s="3">
        <v>46217.0</v>
      </c>
      <c r="H279" s="3" t="s">
        <v>131</v>
      </c>
      <c r="I279" s="1">
        <v>8.0</v>
      </c>
      <c r="J279" s="3">
        <v>46117.0</v>
      </c>
      <c r="K279" s="1">
        <v>1.0</v>
      </c>
      <c r="L279" s="1">
        <v>0.0</v>
      </c>
      <c r="M279" s="1" t="s">
        <v>37</v>
      </c>
      <c r="N279" s="1">
        <v>0.0</v>
      </c>
    </row>
    <row r="280">
      <c r="A280" s="1" t="s">
        <v>624</v>
      </c>
      <c r="B280" s="1" t="s">
        <v>625</v>
      </c>
      <c r="C280" s="1" t="s">
        <v>267</v>
      </c>
      <c r="D280" s="1" t="str">
        <f>IFERROR(
  VLOOKUP(C280, category_map!A:B, 2, FALSE),
  C280
)
</f>
        <v>Bữa ăn/Ngũ cốc</v>
      </c>
      <c r="E280" s="1">
        <v>210.0</v>
      </c>
      <c r="F280" s="2">
        <v>6.0</v>
      </c>
      <c r="G280" s="3">
        <v>34.0</v>
      </c>
      <c r="H280" s="3">
        <v>6.0</v>
      </c>
      <c r="I280" s="1">
        <v>2.0</v>
      </c>
      <c r="J280" s="3">
        <v>1.0</v>
      </c>
      <c r="K280" s="1">
        <v>550.0</v>
      </c>
      <c r="L280" s="1">
        <v>20.0</v>
      </c>
      <c r="M280" s="1" t="s">
        <v>17</v>
      </c>
      <c r="N280" s="1">
        <v>0.0</v>
      </c>
    </row>
    <row r="281">
      <c r="A281" s="1" t="s">
        <v>626</v>
      </c>
      <c r="B281" s="1" t="s">
        <v>627</v>
      </c>
      <c r="C281" s="1" t="s">
        <v>46</v>
      </c>
      <c r="D281" s="1" t="str">
        <f>IFERROR(
  VLOOKUP(C281, category_map!A:B, 2, FALSE),
  C281
)
</f>
        <v>Rau củ</v>
      </c>
      <c r="E281" s="1">
        <v>180.0</v>
      </c>
      <c r="F281" s="2">
        <v>10.0</v>
      </c>
      <c r="G281" s="3">
        <v>15.0</v>
      </c>
      <c r="H281" s="3">
        <v>9.0</v>
      </c>
      <c r="I281" s="1">
        <v>8.0</v>
      </c>
      <c r="J281" s="3">
        <v>3.0</v>
      </c>
      <c r="K281" s="1">
        <v>600.0</v>
      </c>
      <c r="L281" s="1">
        <v>30.0</v>
      </c>
      <c r="M281" s="1" t="s">
        <v>41</v>
      </c>
      <c r="N281" s="1">
        <v>0.0</v>
      </c>
    </row>
    <row r="282">
      <c r="A282" s="1" t="s">
        <v>628</v>
      </c>
      <c r="B282" s="1" t="s">
        <v>629</v>
      </c>
      <c r="C282" s="1" t="s">
        <v>46</v>
      </c>
      <c r="D282" s="1" t="str">
        <f>IFERROR(
  VLOOKUP(C282, category_map!A:B, 2, FALSE),
  C282
)
</f>
        <v>Rau củ</v>
      </c>
      <c r="E282" s="1">
        <v>220.0</v>
      </c>
      <c r="F282" s="2">
        <v>4.0</v>
      </c>
      <c r="G282" s="3">
        <v>25.0</v>
      </c>
      <c r="H282" s="3">
        <v>12.0</v>
      </c>
      <c r="I282" s="1">
        <v>5.0</v>
      </c>
      <c r="J282" s="3">
        <v>3.0</v>
      </c>
      <c r="K282" s="1">
        <v>450.0</v>
      </c>
      <c r="L282" s="1">
        <v>10.0</v>
      </c>
      <c r="M282" s="1" t="s">
        <v>41</v>
      </c>
      <c r="N282" s="1">
        <v>0.0</v>
      </c>
    </row>
    <row r="283">
      <c r="A283" s="1" t="s">
        <v>630</v>
      </c>
      <c r="B283" s="1" t="s">
        <v>631</v>
      </c>
      <c r="C283" s="1" t="s">
        <v>23</v>
      </c>
      <c r="D283" s="1" t="str">
        <f>IFERROR(
  VLOOKUP(C283, category_map!A:B, 2, FALSE),
  C283
)
</f>
        <v>Đồ uống</v>
      </c>
      <c r="E283" s="1">
        <v>180.0</v>
      </c>
      <c r="F283" s="2">
        <v>0.0</v>
      </c>
      <c r="G283" s="3">
        <v>46.0</v>
      </c>
      <c r="H283" s="3">
        <v>0.0</v>
      </c>
      <c r="I283" s="1">
        <v>0.0</v>
      </c>
      <c r="J283" s="3">
        <v>46.0</v>
      </c>
      <c r="K283" s="1">
        <v>15.0</v>
      </c>
      <c r="L283" s="1">
        <v>0.0</v>
      </c>
      <c r="M283" s="1" t="s">
        <v>33</v>
      </c>
      <c r="N283" s="1">
        <v>473.0</v>
      </c>
    </row>
    <row r="284">
      <c r="A284" s="1" t="s">
        <v>632</v>
      </c>
      <c r="B284" s="1" t="s">
        <v>633</v>
      </c>
      <c r="C284" s="1" t="s">
        <v>216</v>
      </c>
      <c r="D284" s="1" t="str">
        <f>IFERROR(
  VLOOKUP(C284, category_map!A:B, 2, FALSE),
  C284
)
</f>
        <v>Bữa ăn/Thịt</v>
      </c>
      <c r="E284" s="1">
        <v>600.0</v>
      </c>
      <c r="F284" s="2">
        <v>25.0</v>
      </c>
      <c r="G284" s="3">
        <v>55.0</v>
      </c>
      <c r="H284" s="3">
        <v>30.0</v>
      </c>
      <c r="I284" s="1">
        <v>5.0</v>
      </c>
      <c r="J284" s="3">
        <v>6.0</v>
      </c>
      <c r="K284" s="1">
        <v>1200.0</v>
      </c>
      <c r="L284" s="1">
        <v>80.0</v>
      </c>
      <c r="M284" s="1" t="s">
        <v>41</v>
      </c>
      <c r="N284" s="1">
        <v>250.0</v>
      </c>
    </row>
    <row r="285">
      <c r="A285" s="1" t="s">
        <v>634</v>
      </c>
      <c r="B285" s="1" t="s">
        <v>635</v>
      </c>
      <c r="C285" s="1" t="s">
        <v>20</v>
      </c>
      <c r="D285" s="1" t="str">
        <f>IFERROR(
  VLOOKUP(C285, category_map!A:B, 2, FALSE),
  C285
)
</f>
        <v>Ngũ cốc</v>
      </c>
      <c r="E285" s="1">
        <v>220.0</v>
      </c>
      <c r="F285" s="2">
        <v>7.0</v>
      </c>
      <c r="G285" s="3">
        <v>45.0</v>
      </c>
      <c r="H285" s="3">
        <v>2.0</v>
      </c>
      <c r="I285" s="1">
        <v>2.0</v>
      </c>
      <c r="J285" s="3">
        <v>2.0</v>
      </c>
      <c r="K285" s="1">
        <v>440.0</v>
      </c>
      <c r="L285" s="1">
        <v>0.0</v>
      </c>
      <c r="M285" s="1" t="s">
        <v>41</v>
      </c>
      <c r="N285" s="1">
        <v>0.0</v>
      </c>
    </row>
    <row r="286">
      <c r="A286" s="1" t="s">
        <v>259</v>
      </c>
      <c r="B286" s="1" t="s">
        <v>636</v>
      </c>
      <c r="C286" s="1" t="s">
        <v>153</v>
      </c>
      <c r="D286" s="1" t="str">
        <f>IFERROR(
  VLOOKUP(C286, category_map!A:B, 2, FALSE),
  C286
)
</f>
        <v>Gia vị</v>
      </c>
      <c r="E286" s="1">
        <v>30.0</v>
      </c>
      <c r="F286" s="2">
        <v>46143.0</v>
      </c>
      <c r="G286" s="3">
        <v>2.0</v>
      </c>
      <c r="H286" s="3">
        <v>2.0</v>
      </c>
      <c r="I286" s="1">
        <v>0.0</v>
      </c>
      <c r="J286" s="3">
        <v>46143.0</v>
      </c>
      <c r="K286" s="1">
        <v>100.0</v>
      </c>
      <c r="L286" s="1">
        <v>5.0</v>
      </c>
      <c r="M286" s="1" t="s">
        <v>41</v>
      </c>
      <c r="N286" s="1">
        <v>0.0</v>
      </c>
    </row>
    <row r="287">
      <c r="A287" s="1" t="s">
        <v>637</v>
      </c>
      <c r="B287" s="1" t="s">
        <v>638</v>
      </c>
      <c r="C287" s="1" t="s">
        <v>144</v>
      </c>
      <c r="D287" s="1" t="str">
        <f>IFERROR(
  VLOOKUP(C287, category_map!A:B, 2, FALSE),
  C287
)
</f>
        <v>Tráng miệng</v>
      </c>
      <c r="E287" s="1">
        <v>280.0</v>
      </c>
      <c r="F287" s="2">
        <v>3.0</v>
      </c>
      <c r="G287" s="3">
        <v>30.0</v>
      </c>
      <c r="H287" s="3">
        <v>18.0</v>
      </c>
      <c r="I287" s="1">
        <v>2.0</v>
      </c>
      <c r="J287" s="3">
        <v>20.0</v>
      </c>
      <c r="K287" s="1">
        <v>80.0</v>
      </c>
      <c r="L287" s="1">
        <v>10.0</v>
      </c>
      <c r="M287" s="1" t="s">
        <v>37</v>
      </c>
      <c r="N287" s="1">
        <v>0.0</v>
      </c>
    </row>
    <row r="288">
      <c r="A288" s="1" t="s">
        <v>639</v>
      </c>
      <c r="B288" s="1" t="s">
        <v>640</v>
      </c>
      <c r="C288" s="1" t="s">
        <v>28</v>
      </c>
      <c r="D288" s="1" t="str">
        <f>IFERROR(
  VLOOKUP(C288, category_map!A:B, 2, FALSE),
  C288
)
</f>
        <v>Trái cây</v>
      </c>
      <c r="E288" s="1">
        <v>110.0</v>
      </c>
      <c r="F288" s="2">
        <v>1.0</v>
      </c>
      <c r="G288" s="3">
        <v>46146.0</v>
      </c>
      <c r="H288" s="3">
        <v>46152.0</v>
      </c>
      <c r="I288" s="1">
        <v>2.0</v>
      </c>
      <c r="J288" s="3">
        <v>46143.0</v>
      </c>
      <c r="K288" s="1">
        <v>3.0</v>
      </c>
      <c r="L288" s="1">
        <v>0.0</v>
      </c>
      <c r="M288" s="1" t="s">
        <v>37</v>
      </c>
      <c r="N288" s="1">
        <v>0.0</v>
      </c>
    </row>
    <row r="289">
      <c r="A289" s="1" t="s">
        <v>641</v>
      </c>
      <c r="B289" s="1" t="s">
        <v>642</v>
      </c>
      <c r="C289" s="1" t="s">
        <v>144</v>
      </c>
      <c r="D289" s="1" t="str">
        <f>IFERROR(
  VLOOKUP(C289, category_map!A:B, 2, FALSE),
  C289
)
</f>
        <v>Tráng miệng</v>
      </c>
      <c r="E289" s="1">
        <v>140.0</v>
      </c>
      <c r="F289" s="2">
        <v>2.0</v>
      </c>
      <c r="G289" s="3">
        <v>25.0</v>
      </c>
      <c r="H289" s="3">
        <v>4.0</v>
      </c>
      <c r="I289" s="1">
        <v>1.0</v>
      </c>
      <c r="J289" s="3">
        <v>15.0</v>
      </c>
      <c r="K289" s="1">
        <v>90.0</v>
      </c>
      <c r="L289" s="1">
        <v>0.0</v>
      </c>
      <c r="M289" s="1" t="s">
        <v>37</v>
      </c>
      <c r="N289" s="1">
        <v>0.0</v>
      </c>
    </row>
    <row r="290">
      <c r="A290" s="1" t="s">
        <v>643</v>
      </c>
      <c r="B290" s="1" t="s">
        <v>644</v>
      </c>
      <c r="C290" s="1" t="s">
        <v>74</v>
      </c>
      <c r="D290" s="1" t="str">
        <f>IFERROR(
  VLOOKUP(C290, category_map!A:B, 2, FALSE),
  C290
)
</f>
        <v>Ngũ cốc/Chế biến</v>
      </c>
      <c r="E290" s="1">
        <v>60.0</v>
      </c>
      <c r="F290" s="2">
        <v>1.0</v>
      </c>
      <c r="G290" s="3">
        <v>11.0</v>
      </c>
      <c r="H290" s="3">
        <v>46143.0</v>
      </c>
      <c r="I290" s="1" t="s">
        <v>36</v>
      </c>
      <c r="J290" s="3">
        <v>4.0</v>
      </c>
      <c r="K290" s="1">
        <v>70.0</v>
      </c>
      <c r="L290" s="1">
        <v>0.0</v>
      </c>
      <c r="M290" s="1" t="s">
        <v>37</v>
      </c>
      <c r="N290" s="1">
        <v>0.0</v>
      </c>
    </row>
    <row r="291">
      <c r="A291" s="1" t="s">
        <v>645</v>
      </c>
      <c r="B291" s="1" t="s">
        <v>646</v>
      </c>
      <c r="C291" s="1" t="s">
        <v>144</v>
      </c>
      <c r="D291" s="1" t="str">
        <f>IFERROR(
  VLOOKUP(C291, category_map!A:B, 2, FALSE),
  C291
)
</f>
        <v>Tráng miệng</v>
      </c>
      <c r="E291" s="1">
        <v>23.0</v>
      </c>
      <c r="F291" s="2" t="s">
        <v>25</v>
      </c>
      <c r="G291" s="3">
        <v>46239.0</v>
      </c>
      <c r="H291" s="3">
        <v>0.0</v>
      </c>
      <c r="I291" s="1">
        <v>0.0</v>
      </c>
      <c r="J291" s="3">
        <v>4.0</v>
      </c>
      <c r="K291" s="1">
        <v>5.0</v>
      </c>
      <c r="L291" s="1">
        <v>0.0</v>
      </c>
      <c r="M291" s="1" t="s">
        <v>37</v>
      </c>
      <c r="N291" s="1">
        <v>0.0</v>
      </c>
    </row>
    <row r="292">
      <c r="A292" s="1" t="s">
        <v>647</v>
      </c>
      <c r="B292" s="1" t="s">
        <v>648</v>
      </c>
      <c r="C292" s="1" t="s">
        <v>144</v>
      </c>
      <c r="D292" s="1" t="str">
        <f>IFERROR(
  VLOOKUP(C292, category_map!A:B, 2, FALSE),
  C292
)
</f>
        <v>Tráng miệng</v>
      </c>
      <c r="E292" s="1">
        <v>25.0</v>
      </c>
      <c r="F292" s="2" t="s">
        <v>24</v>
      </c>
      <c r="G292" s="3">
        <v>3.0</v>
      </c>
      <c r="H292" s="3">
        <v>46143.0</v>
      </c>
      <c r="I292" s="1" t="s">
        <v>55</v>
      </c>
      <c r="J292" s="3">
        <v>46236.0</v>
      </c>
      <c r="K292" s="1">
        <v>4.0</v>
      </c>
      <c r="L292" s="1">
        <v>1.0</v>
      </c>
      <c r="M292" s="1" t="s">
        <v>37</v>
      </c>
      <c r="N292" s="1">
        <v>0.0</v>
      </c>
    </row>
    <row r="293">
      <c r="A293" s="1" t="s">
        <v>649</v>
      </c>
      <c r="B293" s="1" t="s">
        <v>650</v>
      </c>
      <c r="C293" s="1" t="s">
        <v>61</v>
      </c>
      <c r="D293" s="1" t="str">
        <f>IFERROR(
  VLOOKUP(C293, category_map!A:B, 2, FALSE),
  C293
)
</f>
        <v>Bữa ăn/Chế biến</v>
      </c>
      <c r="E293" s="1">
        <v>650.0</v>
      </c>
      <c r="F293" s="2">
        <v>40.0</v>
      </c>
      <c r="G293" s="3">
        <v>55.0</v>
      </c>
      <c r="H293" s="3">
        <v>30.0</v>
      </c>
      <c r="I293" s="1">
        <v>6.0</v>
      </c>
      <c r="J293" s="3">
        <v>9.0</v>
      </c>
      <c r="K293" s="1">
        <v>1400.0</v>
      </c>
      <c r="L293" s="1">
        <v>100.0</v>
      </c>
      <c r="M293" s="1" t="s">
        <v>33</v>
      </c>
      <c r="N293" s="1">
        <v>500.0</v>
      </c>
    </row>
    <row r="294">
      <c r="A294" s="1" t="s">
        <v>651</v>
      </c>
      <c r="B294" s="1" t="s">
        <v>652</v>
      </c>
      <c r="C294" s="1" t="s">
        <v>50</v>
      </c>
      <c r="D294" s="1" t="str">
        <f>IFERROR(
  VLOOKUP(C294, category_map!A:B, 2, FALSE),
  C294
)
</f>
        <v>Sản phẩm từ sữa</v>
      </c>
      <c r="E294" s="1">
        <v>80.0</v>
      </c>
      <c r="F294" s="2">
        <v>6.0</v>
      </c>
      <c r="G294" s="3">
        <v>1.0</v>
      </c>
      <c r="H294" s="3">
        <v>6.0</v>
      </c>
      <c r="I294" s="1">
        <v>0.0</v>
      </c>
      <c r="J294" s="3" t="s">
        <v>36</v>
      </c>
      <c r="K294" s="1">
        <v>150.0</v>
      </c>
      <c r="L294" s="1">
        <v>20.0</v>
      </c>
      <c r="M294" s="1" t="s">
        <v>33</v>
      </c>
      <c r="N294" s="1">
        <v>0.0</v>
      </c>
    </row>
    <row r="295">
      <c r="A295" s="1" t="s">
        <v>653</v>
      </c>
      <c r="B295" s="1" t="s">
        <v>654</v>
      </c>
      <c r="C295" s="1" t="s">
        <v>20</v>
      </c>
      <c r="D295" s="1" t="str">
        <f>IFERROR(
  VLOOKUP(C295, category_map!A:B, 2, FALSE),
  C295
)
</f>
        <v>Ngũ cốc</v>
      </c>
      <c r="E295" s="1">
        <v>200.0</v>
      </c>
      <c r="F295" s="2">
        <v>6.0</v>
      </c>
      <c r="G295" s="3">
        <v>38.0</v>
      </c>
      <c r="H295" s="3">
        <v>2.0</v>
      </c>
      <c r="I295" s="1">
        <v>2.0</v>
      </c>
      <c r="J295" s="3">
        <v>3.0</v>
      </c>
      <c r="K295" s="1">
        <v>400.0</v>
      </c>
      <c r="L295" s="1">
        <v>0.0</v>
      </c>
      <c r="M295" s="1" t="s">
        <v>33</v>
      </c>
      <c r="N295" s="1">
        <v>0.0</v>
      </c>
    </row>
    <row r="296">
      <c r="A296" s="1" t="s">
        <v>655</v>
      </c>
      <c r="B296" s="1" t="s">
        <v>656</v>
      </c>
      <c r="C296" s="1" t="s">
        <v>46</v>
      </c>
      <c r="D296" s="1" t="str">
        <f>IFERROR(
  VLOOKUP(C296, category_map!A:B, 2, FALSE),
  C296
)
</f>
        <v>Rau củ</v>
      </c>
      <c r="E296" s="1">
        <v>60.0</v>
      </c>
      <c r="F296" s="2">
        <v>46057.0</v>
      </c>
      <c r="G296" s="3">
        <v>46125.0</v>
      </c>
      <c r="H296" s="3" t="s">
        <v>55</v>
      </c>
      <c r="I296" s="4">
        <v>46271.0</v>
      </c>
      <c r="J296" s="3">
        <v>46054.0</v>
      </c>
      <c r="K296" s="1">
        <v>112.0</v>
      </c>
      <c r="L296" s="1">
        <v>0.0</v>
      </c>
      <c r="M296" s="1" t="s">
        <v>41</v>
      </c>
      <c r="N296" s="1">
        <v>0.0</v>
      </c>
    </row>
    <row r="297">
      <c r="A297" s="1" t="s">
        <v>657</v>
      </c>
      <c r="B297" s="1" t="s">
        <v>658</v>
      </c>
      <c r="C297" s="1" t="s">
        <v>153</v>
      </c>
      <c r="D297" s="1" t="str">
        <f>IFERROR(
  VLOOKUP(C297, category_map!A:B, 2, FALSE),
  C297
)
</f>
        <v>Gia vị</v>
      </c>
      <c r="E297" s="1">
        <v>90.0</v>
      </c>
      <c r="F297" s="2" t="s">
        <v>25</v>
      </c>
      <c r="G297" s="3" t="s">
        <v>25</v>
      </c>
      <c r="H297" s="3">
        <v>10.0</v>
      </c>
      <c r="I297" s="1">
        <v>0.0</v>
      </c>
      <c r="J297" s="3" t="s">
        <v>25</v>
      </c>
      <c r="K297" s="1">
        <v>70.0</v>
      </c>
      <c r="L297" s="1">
        <v>5.0</v>
      </c>
      <c r="M297" s="1" t="s">
        <v>41</v>
      </c>
      <c r="N297" s="1">
        <v>0.0</v>
      </c>
    </row>
    <row r="298">
      <c r="A298" s="1" t="s">
        <v>659</v>
      </c>
      <c r="B298" s="1" t="s">
        <v>660</v>
      </c>
      <c r="C298" s="1" t="s">
        <v>231</v>
      </c>
      <c r="D298" s="1" t="str">
        <f>IFERROR(
  VLOOKUP(C298, category_map!A:B, 2, FALSE),
  C298
)
</f>
        <v>Bữa ăn/Hải sản</v>
      </c>
      <c r="E298" s="1">
        <v>150.0</v>
      </c>
      <c r="F298" s="2">
        <v>13.0</v>
      </c>
      <c r="G298" s="3">
        <v>8.0</v>
      </c>
      <c r="H298" s="3">
        <v>7.0</v>
      </c>
      <c r="I298" s="1">
        <v>1.0</v>
      </c>
      <c r="J298" s="3">
        <v>1.0</v>
      </c>
      <c r="K298" s="1">
        <v>600.0</v>
      </c>
      <c r="L298" s="1">
        <v>220.0</v>
      </c>
      <c r="M298" s="1" t="s">
        <v>41</v>
      </c>
      <c r="N298" s="1">
        <v>0.0</v>
      </c>
    </row>
    <row r="299">
      <c r="A299" s="1" t="s">
        <v>661</v>
      </c>
      <c r="B299" s="1" t="s">
        <v>662</v>
      </c>
      <c r="C299" s="1" t="s">
        <v>153</v>
      </c>
      <c r="D299" s="1" t="str">
        <f>IFERROR(
  VLOOKUP(C299, category_map!A:B, 2, FALSE),
  C299
)
</f>
        <v>Gia vị</v>
      </c>
      <c r="E299" s="1">
        <v>3.0</v>
      </c>
      <c r="F299" s="2" t="s">
        <v>25</v>
      </c>
      <c r="G299" s="3">
        <v>1.0</v>
      </c>
      <c r="H299" s="3">
        <v>0.0</v>
      </c>
      <c r="I299" s="1" t="s">
        <v>24</v>
      </c>
      <c r="J299" s="3" t="s">
        <v>55</v>
      </c>
      <c r="K299" s="1">
        <v>0.0</v>
      </c>
      <c r="L299" s="1">
        <v>0.0</v>
      </c>
      <c r="M299" s="1" t="s">
        <v>41</v>
      </c>
      <c r="N299" s="1">
        <v>0.0</v>
      </c>
    </row>
    <row r="300">
      <c r="A300" s="1" t="s">
        <v>663</v>
      </c>
      <c r="B300" s="1" t="s">
        <v>664</v>
      </c>
      <c r="C300" s="1" t="s">
        <v>23</v>
      </c>
      <c r="D300" s="1" t="str">
        <f>IFERROR(
  VLOOKUP(C300, category_map!A:B, 2, FALSE),
  C300
)
</f>
        <v>Đồ uống</v>
      </c>
      <c r="E300" s="1">
        <v>150.0</v>
      </c>
      <c r="F300" s="2">
        <v>0.0</v>
      </c>
      <c r="G300" s="3">
        <v>40.0</v>
      </c>
      <c r="H300" s="3">
        <v>0.0</v>
      </c>
      <c r="I300" s="1">
        <v>0.0</v>
      </c>
      <c r="J300" s="3">
        <v>40.0</v>
      </c>
      <c r="K300" s="1">
        <v>55.0</v>
      </c>
      <c r="L300" s="1">
        <v>0.0</v>
      </c>
      <c r="M300" s="1" t="s">
        <v>37</v>
      </c>
      <c r="N300" s="1">
        <v>355.0</v>
      </c>
    </row>
    <row r="301">
      <c r="A301" s="1" t="s">
        <v>665</v>
      </c>
      <c r="B301" s="1" t="s">
        <v>666</v>
      </c>
      <c r="C301" s="1" t="s">
        <v>61</v>
      </c>
      <c r="D301" s="1" t="str">
        <f>IFERROR(
  VLOOKUP(C301, category_map!A:B, 2, FALSE),
  C301
)
</f>
        <v>Bữa ăn/Chế biến</v>
      </c>
      <c r="E301" s="1">
        <v>270.0</v>
      </c>
      <c r="F301" s="2">
        <v>15.0</v>
      </c>
      <c r="G301" s="3">
        <v>16.0</v>
      </c>
      <c r="H301" s="3">
        <v>16.0</v>
      </c>
      <c r="I301" s="1">
        <v>1.0</v>
      </c>
      <c r="J301" s="3">
        <v>0.0</v>
      </c>
      <c r="K301" s="1">
        <v>500.0</v>
      </c>
      <c r="L301" s="1">
        <v>40.0</v>
      </c>
      <c r="M301" s="1" t="s">
        <v>33</v>
      </c>
      <c r="N301" s="1">
        <v>0.0</v>
      </c>
    </row>
    <row r="302">
      <c r="A302" s="1" t="s">
        <v>667</v>
      </c>
      <c r="B302" s="1" t="s">
        <v>668</v>
      </c>
      <c r="C302" s="1" t="s">
        <v>153</v>
      </c>
      <c r="D302" s="1" t="str">
        <f>IFERROR(
  VLOOKUP(C302, category_map!A:B, 2, FALSE),
  C302
)
</f>
        <v>Gia vị</v>
      </c>
      <c r="E302" s="1">
        <v>60.0</v>
      </c>
      <c r="F302" s="2" t="s">
        <v>36</v>
      </c>
      <c r="G302" s="3">
        <v>15.0</v>
      </c>
      <c r="H302" s="3">
        <v>0.0</v>
      </c>
      <c r="I302" s="1" t="s">
        <v>36</v>
      </c>
      <c r="J302" s="3">
        <v>12.0</v>
      </c>
      <c r="K302" s="1">
        <v>350.0</v>
      </c>
      <c r="L302" s="1">
        <v>0.0</v>
      </c>
      <c r="M302" s="1" t="s">
        <v>33</v>
      </c>
      <c r="N302" s="1">
        <v>0.0</v>
      </c>
    </row>
    <row r="303">
      <c r="A303" s="1" t="s">
        <v>669</v>
      </c>
      <c r="B303" s="1" t="s">
        <v>670</v>
      </c>
      <c r="C303" s="1" t="s">
        <v>153</v>
      </c>
      <c r="D303" s="1" t="str">
        <f>IFERROR(
  VLOOKUP(C303, category_map!A:B, 2, FALSE),
  C303
)
</f>
        <v>Gia vị</v>
      </c>
      <c r="E303" s="1">
        <v>64.0</v>
      </c>
      <c r="F303" s="2" t="s">
        <v>25</v>
      </c>
      <c r="G303" s="3">
        <v>46098.0</v>
      </c>
      <c r="H303" s="3">
        <v>0.0</v>
      </c>
      <c r="I303" s="1">
        <v>0.0</v>
      </c>
      <c r="J303" s="3">
        <v>46070.0</v>
      </c>
      <c r="K303" s="1">
        <v>1.0</v>
      </c>
      <c r="L303" s="1">
        <v>0.0</v>
      </c>
      <c r="M303" s="1" t="s">
        <v>17</v>
      </c>
      <c r="N303" s="1">
        <v>0.0</v>
      </c>
    </row>
    <row r="304">
      <c r="A304" s="1" t="s">
        <v>671</v>
      </c>
      <c r="B304" s="1" t="s">
        <v>84</v>
      </c>
      <c r="C304" s="1" t="s">
        <v>85</v>
      </c>
      <c r="D304" s="1" t="str">
        <f>IFERROR(
  VLOOKUP(C304, category_map!A:B, 2, FALSE),
  C304
)
</f>
        <v>Bữa ăn/Chay</v>
      </c>
      <c r="E304" s="1">
        <v>250.0</v>
      </c>
      <c r="F304" s="2">
        <v>20.0</v>
      </c>
      <c r="G304" s="3">
        <v>8.0</v>
      </c>
      <c r="H304" s="3">
        <v>16.0</v>
      </c>
      <c r="I304" s="1">
        <v>4.0</v>
      </c>
      <c r="J304" s="3">
        <v>3.0</v>
      </c>
      <c r="K304" s="1">
        <v>300.0</v>
      </c>
      <c r="L304" s="1">
        <v>0.0</v>
      </c>
      <c r="M304" s="1" t="s">
        <v>17</v>
      </c>
      <c r="N304" s="1">
        <v>250.0</v>
      </c>
    </row>
    <row r="305">
      <c r="A305" s="1" t="s">
        <v>672</v>
      </c>
      <c r="B305" s="1" t="s">
        <v>673</v>
      </c>
      <c r="C305" s="1" t="s">
        <v>153</v>
      </c>
      <c r="D305" s="1" t="str">
        <f>IFERROR(
  VLOOKUP(C305, category_map!A:B, 2, FALSE),
  C305
)
</f>
        <v>Gia vị</v>
      </c>
      <c r="E305" s="1">
        <v>9.0</v>
      </c>
      <c r="F305" s="2" t="s">
        <v>24</v>
      </c>
      <c r="G305" s="3">
        <v>46266.0</v>
      </c>
      <c r="H305" s="3" t="s">
        <v>25</v>
      </c>
      <c r="I305" s="1" t="s">
        <v>186</v>
      </c>
      <c r="J305" s="3" t="s">
        <v>25</v>
      </c>
      <c r="K305" s="1">
        <v>1.0</v>
      </c>
      <c r="L305" s="1">
        <v>0.0</v>
      </c>
      <c r="M305" s="1" t="s">
        <v>17</v>
      </c>
      <c r="N305" s="1">
        <v>0.0</v>
      </c>
    </row>
    <row r="306">
      <c r="A306" s="1" t="s">
        <v>674</v>
      </c>
      <c r="B306" s="1" t="s">
        <v>675</v>
      </c>
      <c r="C306" s="1" t="s">
        <v>153</v>
      </c>
      <c r="D306" s="1" t="str">
        <f>IFERROR(
  VLOOKUP(C306, category_map!A:B, 2, FALSE),
  C306
)
</f>
        <v>Gia vị</v>
      </c>
      <c r="E306" s="1">
        <v>20.0</v>
      </c>
      <c r="F306" s="2">
        <v>3.0</v>
      </c>
      <c r="G306" s="3">
        <v>2.0</v>
      </c>
      <c r="H306" s="3">
        <v>0.0</v>
      </c>
      <c r="I306" s="1">
        <v>1.0</v>
      </c>
      <c r="J306" s="3">
        <v>0.0</v>
      </c>
      <c r="K306" s="1">
        <v>10.0</v>
      </c>
      <c r="L306" s="1">
        <v>0.0</v>
      </c>
      <c r="M306" s="1" t="s">
        <v>17</v>
      </c>
      <c r="N306" s="1">
        <v>0.0</v>
      </c>
    </row>
    <row r="307">
      <c r="A307" s="1" t="s">
        <v>676</v>
      </c>
      <c r="B307" s="1" t="s">
        <v>677</v>
      </c>
      <c r="C307" s="1" t="s">
        <v>161</v>
      </c>
      <c r="D307" s="1" t="str">
        <f>IFERROR(
  VLOOKUP(C307, category_map!A:B, 2, FALSE),
  C307
)
</f>
        <v>Chất đạm/Chay</v>
      </c>
      <c r="E307" s="1">
        <v>90.0</v>
      </c>
      <c r="F307" s="2">
        <v>18.0</v>
      </c>
      <c r="G307" s="3">
        <v>4.0</v>
      </c>
      <c r="H307" s="3">
        <v>1.0</v>
      </c>
      <c r="I307" s="1">
        <v>1.0</v>
      </c>
      <c r="J307" s="3">
        <v>1.0</v>
      </c>
      <c r="K307" s="1">
        <v>300.0</v>
      </c>
      <c r="L307" s="1">
        <v>0.0</v>
      </c>
      <c r="M307" s="1" t="s">
        <v>41</v>
      </c>
      <c r="N307" s="1">
        <v>0.0</v>
      </c>
    </row>
    <row r="308">
      <c r="A308" s="1" t="s">
        <v>678</v>
      </c>
      <c r="B308" s="1" t="s">
        <v>679</v>
      </c>
      <c r="C308" s="1" t="s">
        <v>23</v>
      </c>
      <c r="D308" s="1" t="str">
        <f>IFERROR(
  VLOOKUP(C308, category_map!A:B, 2, FALSE),
  C308
)
</f>
        <v>Đồ uống</v>
      </c>
      <c r="E308" s="1">
        <v>15.0</v>
      </c>
      <c r="F308" s="2">
        <v>1.0</v>
      </c>
      <c r="G308" s="3">
        <v>3.0</v>
      </c>
      <c r="H308" s="3">
        <v>0.0</v>
      </c>
      <c r="I308" s="1">
        <v>1.0</v>
      </c>
      <c r="J308" s="3">
        <v>2.0</v>
      </c>
      <c r="K308" s="1">
        <v>550.0</v>
      </c>
      <c r="L308" s="1">
        <v>0.0</v>
      </c>
      <c r="M308" s="1" t="s">
        <v>41</v>
      </c>
      <c r="N308" s="1">
        <v>240.0</v>
      </c>
    </row>
    <row r="309">
      <c r="A309" s="1" t="s">
        <v>680</v>
      </c>
      <c r="B309" s="1" t="s">
        <v>681</v>
      </c>
      <c r="C309" s="1" t="s">
        <v>46</v>
      </c>
      <c r="D309" s="1" t="str">
        <f>IFERROR(
  VLOOKUP(C309, category_map!A:B, 2, FALSE),
  C309
)
</f>
        <v>Rau củ</v>
      </c>
      <c r="E309" s="1">
        <v>140.0</v>
      </c>
      <c r="F309" s="2">
        <v>5.0</v>
      </c>
      <c r="G309" s="3">
        <v>12.0</v>
      </c>
      <c r="H309" s="3">
        <v>8.0</v>
      </c>
      <c r="I309" s="1">
        <v>5.0</v>
      </c>
      <c r="J309" s="3">
        <v>4.0</v>
      </c>
      <c r="K309" s="1">
        <v>400.0</v>
      </c>
      <c r="L309" s="1">
        <v>25.0</v>
      </c>
      <c r="M309" s="1" t="s">
        <v>41</v>
      </c>
      <c r="N309" s="1">
        <v>0.0</v>
      </c>
    </row>
    <row r="310">
      <c r="A310" s="1" t="s">
        <v>682</v>
      </c>
      <c r="B310" s="1" t="s">
        <v>683</v>
      </c>
      <c r="C310" s="1" t="s">
        <v>153</v>
      </c>
      <c r="D310" s="1" t="str">
        <f>IFERROR(
  VLOOKUP(C310, category_map!A:B, 2, FALSE),
  C310
)
</f>
        <v>Gia vị</v>
      </c>
      <c r="E310" s="1">
        <v>80.0</v>
      </c>
      <c r="F310" s="2">
        <v>2.0</v>
      </c>
      <c r="G310" s="3">
        <v>4.0</v>
      </c>
      <c r="H310" s="3">
        <v>6.0</v>
      </c>
      <c r="I310" s="1">
        <v>1.0</v>
      </c>
      <c r="J310" s="3">
        <v>3.0</v>
      </c>
      <c r="K310" s="1">
        <v>250.0</v>
      </c>
      <c r="L310" s="1">
        <v>0.0</v>
      </c>
      <c r="M310" s="1" t="s">
        <v>41</v>
      </c>
      <c r="N310" s="1">
        <v>0.0</v>
      </c>
    </row>
    <row r="311">
      <c r="A311" s="1" t="s">
        <v>684</v>
      </c>
      <c r="B311" s="1" t="s">
        <v>685</v>
      </c>
      <c r="C311" s="1" t="s">
        <v>161</v>
      </c>
      <c r="D311" s="1" t="str">
        <f>IFERROR(
  VLOOKUP(C311, category_map!A:B, 2, FALSE),
  C311
)
</f>
        <v>Chất đạm/Chay</v>
      </c>
      <c r="E311" s="1">
        <v>160.0</v>
      </c>
      <c r="F311" s="2">
        <v>16.0</v>
      </c>
      <c r="G311" s="3">
        <v>8.0</v>
      </c>
      <c r="H311" s="3">
        <v>9.0</v>
      </c>
      <c r="I311" s="1">
        <v>5.0</v>
      </c>
      <c r="J311" s="3">
        <v>0.0</v>
      </c>
      <c r="K311" s="1">
        <v>10.0</v>
      </c>
      <c r="L311" s="1">
        <v>0.0</v>
      </c>
      <c r="M311" s="1" t="s">
        <v>33</v>
      </c>
      <c r="N311" s="1">
        <v>0.0</v>
      </c>
    </row>
    <row r="312">
      <c r="A312" s="1" t="s">
        <v>686</v>
      </c>
      <c r="B312" s="1" t="s">
        <v>687</v>
      </c>
      <c r="C312" s="1" t="s">
        <v>46</v>
      </c>
      <c r="D312" s="1" t="str">
        <f>IFERROR(
  VLOOKUP(C312, category_map!A:B, 2, FALSE),
  C312
)
</f>
        <v>Rau củ</v>
      </c>
      <c r="E312" s="1">
        <v>14.0</v>
      </c>
      <c r="F312" s="2" t="s">
        <v>186</v>
      </c>
      <c r="G312" s="3">
        <v>46025.0</v>
      </c>
      <c r="H312" s="3" t="s">
        <v>25</v>
      </c>
      <c r="I312" s="1">
        <v>2.0</v>
      </c>
      <c r="J312" s="3">
        <v>46054.0</v>
      </c>
      <c r="K312" s="1">
        <v>468.0</v>
      </c>
      <c r="L312" s="1">
        <v>0.0</v>
      </c>
      <c r="M312" s="1" t="s">
        <v>33</v>
      </c>
      <c r="N312" s="1">
        <v>0.0</v>
      </c>
    </row>
    <row r="313">
      <c r="A313" s="1" t="s">
        <v>688</v>
      </c>
      <c r="B313" s="1" t="s">
        <v>689</v>
      </c>
      <c r="C313" s="1" t="s">
        <v>20</v>
      </c>
      <c r="D313" s="1" t="str">
        <f>IFERROR(
  VLOOKUP(C313, category_map!A:B, 2, FALSE),
  C313
)
</f>
        <v>Ngũ cốc</v>
      </c>
      <c r="E313" s="1">
        <v>70.0</v>
      </c>
      <c r="F313" s="2">
        <v>2.0</v>
      </c>
      <c r="G313" s="3">
        <v>14.0</v>
      </c>
      <c r="H313" s="3" t="s">
        <v>36</v>
      </c>
      <c r="I313" s="1">
        <v>3.0</v>
      </c>
      <c r="J313" s="3">
        <v>0.0</v>
      </c>
      <c r="K313" s="1">
        <v>120.0</v>
      </c>
      <c r="L313" s="1">
        <v>0.0</v>
      </c>
      <c r="M313" s="1" t="s">
        <v>33</v>
      </c>
      <c r="N313" s="1">
        <v>0.0</v>
      </c>
    </row>
    <row r="314">
      <c r="A314" s="1" t="s">
        <v>690</v>
      </c>
      <c r="B314" s="1" t="s">
        <v>691</v>
      </c>
      <c r="C314" s="1" t="s">
        <v>153</v>
      </c>
      <c r="D314" s="1" t="str">
        <f>IFERROR(
  VLOOKUP(C314, category_map!A:B, 2, FALSE),
  C314
)
</f>
        <v>Gia vị</v>
      </c>
      <c r="E314" s="1">
        <v>2.0</v>
      </c>
      <c r="F314" s="2" t="s">
        <v>55</v>
      </c>
      <c r="G314" s="3" t="s">
        <v>29</v>
      </c>
      <c r="H314" s="3" t="s">
        <v>25</v>
      </c>
      <c r="I314" s="1" t="s">
        <v>24</v>
      </c>
      <c r="J314" s="3" t="s">
        <v>25</v>
      </c>
      <c r="K314" s="1">
        <v>200.0</v>
      </c>
      <c r="L314" s="1">
        <v>0.0</v>
      </c>
      <c r="M314" s="1" t="s">
        <v>41</v>
      </c>
      <c r="N314" s="1">
        <v>0.0</v>
      </c>
    </row>
    <row r="315">
      <c r="A315" s="1" t="s">
        <v>692</v>
      </c>
      <c r="B315" s="1" t="s">
        <v>693</v>
      </c>
      <c r="C315" s="1" t="s">
        <v>99</v>
      </c>
      <c r="D315" s="1" t="str">
        <f>IFERROR(
  VLOOKUP(C315, category_map!A:B, 2, FALSE),
  C315
)
</f>
        <v>Chất đạm/Thịt</v>
      </c>
      <c r="E315" s="1">
        <v>91.0</v>
      </c>
      <c r="F315" s="2">
        <v>46186.0</v>
      </c>
      <c r="G315" s="3" t="s">
        <v>47</v>
      </c>
      <c r="H315" s="3">
        <v>46176.0</v>
      </c>
      <c r="I315" s="1">
        <v>0.0</v>
      </c>
      <c r="J315" s="3">
        <v>0.0</v>
      </c>
      <c r="K315" s="1">
        <v>50.0</v>
      </c>
      <c r="L315" s="1">
        <v>320.0</v>
      </c>
      <c r="M315" s="1" t="s">
        <v>41</v>
      </c>
      <c r="N315" s="1">
        <v>0.0</v>
      </c>
    </row>
    <row r="316">
      <c r="A316" s="1" t="s">
        <v>694</v>
      </c>
      <c r="B316" s="1" t="s">
        <v>695</v>
      </c>
      <c r="C316" s="1" t="s">
        <v>46</v>
      </c>
      <c r="D316" s="1" t="str">
        <f>IFERROR(
  VLOOKUP(C316, category_map!A:B, 2, FALSE),
  C316
)
</f>
        <v>Rau củ</v>
      </c>
      <c r="E316" s="1">
        <v>32.0</v>
      </c>
      <c r="F316" s="2" t="s">
        <v>224</v>
      </c>
      <c r="G316" s="3">
        <v>46149.0</v>
      </c>
      <c r="H316" s="3" t="s">
        <v>25</v>
      </c>
      <c r="I316" s="4">
        <v>46113.0</v>
      </c>
      <c r="J316" s="3">
        <v>46237.0</v>
      </c>
      <c r="K316" s="1">
        <v>3.0</v>
      </c>
      <c r="L316" s="1">
        <v>0.0</v>
      </c>
      <c r="M316" s="1" t="s">
        <v>41</v>
      </c>
      <c r="N316" s="1">
        <v>0.0</v>
      </c>
    </row>
    <row r="317">
      <c r="A317" s="1" t="s">
        <v>696</v>
      </c>
      <c r="B317" s="1" t="s">
        <v>697</v>
      </c>
      <c r="C317" s="1" t="s">
        <v>46</v>
      </c>
      <c r="D317" s="1" t="str">
        <f>IFERROR(
  VLOOKUP(C317, category_map!A:B, 2, FALSE),
  C317
)
</f>
        <v>Rau củ</v>
      </c>
      <c r="E317" s="1">
        <v>10.0</v>
      </c>
      <c r="F317" s="2">
        <v>46143.0</v>
      </c>
      <c r="G317" s="3">
        <v>2.0</v>
      </c>
      <c r="H317" s="3" t="s">
        <v>25</v>
      </c>
      <c r="I317" s="1">
        <v>1.0</v>
      </c>
      <c r="J317" s="3">
        <v>1.0</v>
      </c>
      <c r="K317" s="1">
        <v>40.0</v>
      </c>
      <c r="L317" s="1">
        <v>0.0</v>
      </c>
      <c r="M317" s="1" t="s">
        <v>41</v>
      </c>
      <c r="N317" s="1">
        <v>0.0</v>
      </c>
    </row>
    <row r="318">
      <c r="A318" s="1" t="s">
        <v>698</v>
      </c>
      <c r="B318" s="1" t="s">
        <v>699</v>
      </c>
      <c r="C318" s="1" t="s">
        <v>700</v>
      </c>
      <c r="D318" s="1" t="str">
        <f>IFERROR(
  VLOOKUP(C318, category_map!A:B, 2, FALSE),
  C318
)
</f>
        <v>Đồ ăn nhẹ/Tráng miệng</v>
      </c>
      <c r="E318" s="1">
        <v>100.0</v>
      </c>
      <c r="F318" s="2">
        <v>2.0</v>
      </c>
      <c r="G318" s="3">
        <v>22.0</v>
      </c>
      <c r="H318" s="3">
        <v>0.0</v>
      </c>
      <c r="I318" s="1">
        <v>0.0</v>
      </c>
      <c r="J318" s="3">
        <v>15.0</v>
      </c>
      <c r="K318" s="1">
        <v>10.0</v>
      </c>
      <c r="L318" s="1">
        <v>0.0</v>
      </c>
      <c r="M318" s="1" t="s">
        <v>37</v>
      </c>
      <c r="N318" s="1">
        <v>0.0</v>
      </c>
    </row>
    <row r="319">
      <c r="A319" s="1" t="s">
        <v>701</v>
      </c>
      <c r="B319" s="1" t="s">
        <v>702</v>
      </c>
      <c r="C319" s="1" t="s">
        <v>23</v>
      </c>
      <c r="D319" s="1" t="str">
        <f>IFERROR(
  VLOOKUP(C319, category_map!A:B, 2, FALSE),
  C319
)
</f>
        <v>Đồ uống</v>
      </c>
      <c r="E319" s="1">
        <v>105.0</v>
      </c>
      <c r="F319" s="2">
        <v>0.0</v>
      </c>
      <c r="G319" s="3" t="s">
        <v>25</v>
      </c>
      <c r="H319" s="3">
        <v>0.0</v>
      </c>
      <c r="I319" s="1">
        <v>0.0</v>
      </c>
      <c r="J319" s="3" t="s">
        <v>25</v>
      </c>
      <c r="K319" s="1">
        <v>1.0</v>
      </c>
      <c r="L319" s="1">
        <v>0.0</v>
      </c>
      <c r="M319" s="1" t="s">
        <v>37</v>
      </c>
      <c r="N319" s="1">
        <v>0.0</v>
      </c>
    </row>
    <row r="320">
      <c r="A320" s="1" t="s">
        <v>703</v>
      </c>
      <c r="B320" s="1" t="s">
        <v>704</v>
      </c>
      <c r="C320" s="1" t="s">
        <v>28</v>
      </c>
      <c r="D320" s="1" t="str">
        <f>IFERROR(
  VLOOKUP(C320, category_map!A:B, 2, FALSE),
  C320
)
</f>
        <v>Trái cây</v>
      </c>
      <c r="E320" s="1">
        <v>133.0</v>
      </c>
      <c r="F320" s="2" t="s">
        <v>131</v>
      </c>
      <c r="G320" s="3">
        <v>36.0</v>
      </c>
      <c r="H320" s="3" t="s">
        <v>25</v>
      </c>
      <c r="I320" s="4">
        <v>46056.0</v>
      </c>
      <c r="J320" s="3">
        <v>32.0</v>
      </c>
      <c r="K320" s="1">
        <v>1.0</v>
      </c>
      <c r="L320" s="1">
        <v>0.0</v>
      </c>
      <c r="M320" s="1" t="s">
        <v>37</v>
      </c>
      <c r="N320" s="1">
        <v>0.0</v>
      </c>
    </row>
    <row r="321">
      <c r="A321" s="1" t="s">
        <v>705</v>
      </c>
      <c r="B321" s="1" t="s">
        <v>706</v>
      </c>
      <c r="C321" s="1" t="s">
        <v>153</v>
      </c>
      <c r="D321" s="1" t="str">
        <f>IFERROR(
  VLOOKUP(C321, category_map!A:B, 2, FALSE),
  C321
)
</f>
        <v>Gia vị</v>
      </c>
      <c r="E321" s="1">
        <v>89.0</v>
      </c>
      <c r="F321" s="2">
        <v>46175.0</v>
      </c>
      <c r="G321" s="3">
        <v>46056.0</v>
      </c>
      <c r="H321" s="3">
        <v>8.0</v>
      </c>
      <c r="I321" s="4">
        <v>46113.0</v>
      </c>
      <c r="J321" s="3" t="s">
        <v>25</v>
      </c>
      <c r="K321" s="1">
        <v>17.0</v>
      </c>
      <c r="L321" s="1">
        <v>0.0</v>
      </c>
      <c r="M321" s="1" t="s">
        <v>37</v>
      </c>
      <c r="N321" s="1">
        <v>0.0</v>
      </c>
    </row>
    <row r="322">
      <c r="A322" s="1" t="s">
        <v>707</v>
      </c>
      <c r="B322" s="1" t="s">
        <v>708</v>
      </c>
      <c r="C322" s="1" t="s">
        <v>128</v>
      </c>
      <c r="D322" s="1" t="str">
        <f>IFERROR(
  VLOOKUP(C322, category_map!A:B, 2, FALSE),
  C322
)
</f>
        <v>Đậu</v>
      </c>
      <c r="E322" s="1">
        <v>135.0</v>
      </c>
      <c r="F322" s="2">
        <v>7.0</v>
      </c>
      <c r="G322" s="3">
        <v>22.0</v>
      </c>
      <c r="H322" s="3">
        <v>2.0</v>
      </c>
      <c r="I322" s="1">
        <v>6.0</v>
      </c>
      <c r="J322" s="3">
        <v>3.0</v>
      </c>
      <c r="K322" s="1">
        <v>250.0</v>
      </c>
      <c r="L322" s="1">
        <v>0.0</v>
      </c>
      <c r="M322" s="1" t="s">
        <v>33</v>
      </c>
      <c r="N322" s="1">
        <v>0.0</v>
      </c>
    </row>
    <row r="323">
      <c r="A323" s="1" t="s">
        <v>709</v>
      </c>
      <c r="B323" s="1" t="s">
        <v>710</v>
      </c>
      <c r="C323" s="1" t="s">
        <v>46</v>
      </c>
      <c r="D323" s="1" t="str">
        <f>IFERROR(
  VLOOKUP(C323, category_map!A:B, 2, FALSE),
  C323
)
</f>
        <v>Rau củ</v>
      </c>
      <c r="E323" s="1">
        <v>16.0</v>
      </c>
      <c r="F323" s="2">
        <v>1.0</v>
      </c>
      <c r="G323" s="3">
        <v>3.0</v>
      </c>
      <c r="H323" s="3" t="s">
        <v>24</v>
      </c>
      <c r="I323" s="1">
        <v>2.0</v>
      </c>
      <c r="J323" s="3">
        <v>1.0</v>
      </c>
      <c r="K323" s="1">
        <v>10.0</v>
      </c>
      <c r="L323" s="1">
        <v>0.0</v>
      </c>
      <c r="M323" s="1" t="s">
        <v>33</v>
      </c>
      <c r="N323" s="1">
        <v>0.0</v>
      </c>
    </row>
    <row r="324">
      <c r="A324" s="1" t="s">
        <v>711</v>
      </c>
      <c r="B324" s="1" t="s">
        <v>712</v>
      </c>
      <c r="C324" s="1" t="s">
        <v>153</v>
      </c>
      <c r="D324" s="1" t="str">
        <f>IFERROR(
  VLOOKUP(C324, category_map!A:B, 2, FALSE),
  C324
)
</f>
        <v>Gia vị</v>
      </c>
      <c r="E324" s="1">
        <v>70.0</v>
      </c>
      <c r="F324" s="2">
        <v>0.0</v>
      </c>
      <c r="G324" s="3">
        <v>3.0</v>
      </c>
      <c r="H324" s="3">
        <v>7.0</v>
      </c>
      <c r="I324" s="1">
        <v>0.0</v>
      </c>
      <c r="J324" s="3">
        <v>2.0</v>
      </c>
      <c r="K324" s="1">
        <v>300.0</v>
      </c>
      <c r="L324" s="1">
        <v>0.0</v>
      </c>
      <c r="M324" s="1" t="s">
        <v>33</v>
      </c>
      <c r="N324" s="1">
        <v>0.0</v>
      </c>
    </row>
    <row r="325">
      <c r="A325" s="1" t="s">
        <v>713</v>
      </c>
      <c r="B325" s="1" t="s">
        <v>714</v>
      </c>
      <c r="C325" s="1" t="s">
        <v>99</v>
      </c>
      <c r="D325" s="1" t="str">
        <f>IFERROR(
  VLOOKUP(C325, category_map!A:B, 2, FALSE),
  C325
)
</f>
        <v>Chất đạm/Thịt</v>
      </c>
      <c r="E325" s="1">
        <v>70.0</v>
      </c>
      <c r="F325" s="2">
        <v>9.0</v>
      </c>
      <c r="G325" s="3">
        <v>1.0</v>
      </c>
      <c r="H325" s="3">
        <v>4.0</v>
      </c>
      <c r="I325" s="1">
        <v>0.0</v>
      </c>
      <c r="J325" s="3" t="s">
        <v>36</v>
      </c>
      <c r="K325" s="1">
        <v>280.0</v>
      </c>
      <c r="L325" s="1">
        <v>35.0</v>
      </c>
      <c r="M325" s="1" t="s">
        <v>17</v>
      </c>
      <c r="N325" s="1">
        <v>0.0</v>
      </c>
    </row>
    <row r="326">
      <c r="A326" s="1" t="s">
        <v>715</v>
      </c>
      <c r="B326" s="1" t="s">
        <v>716</v>
      </c>
      <c r="C326" s="1" t="s">
        <v>153</v>
      </c>
      <c r="D326" s="1" t="str">
        <f>IFERROR(
  VLOOKUP(C326, category_map!A:B, 2, FALSE),
  C326
)
</f>
        <v>Gia vị</v>
      </c>
      <c r="E326" s="1">
        <v>52.0</v>
      </c>
      <c r="F326" s="2">
        <v>0.0</v>
      </c>
      <c r="G326" s="3">
        <v>46155.0</v>
      </c>
      <c r="H326" s="3">
        <v>0.0</v>
      </c>
      <c r="I326" s="1">
        <v>0.0</v>
      </c>
      <c r="J326" s="3">
        <v>12.0</v>
      </c>
      <c r="K326" s="1">
        <v>1.0</v>
      </c>
      <c r="L326" s="1">
        <v>0.0</v>
      </c>
      <c r="M326" s="1" t="s">
        <v>17</v>
      </c>
      <c r="N326" s="1">
        <v>0.0</v>
      </c>
    </row>
    <row r="327">
      <c r="A327" s="1" t="s">
        <v>717</v>
      </c>
      <c r="B327" s="1" t="s">
        <v>718</v>
      </c>
      <c r="C327" s="1" t="s">
        <v>23</v>
      </c>
      <c r="D327" s="1" t="str">
        <f>IFERROR(
  VLOOKUP(C327, category_map!A:B, 2, FALSE),
  C327
)
</f>
        <v>Đồ uống</v>
      </c>
      <c r="E327" s="1">
        <v>200.0</v>
      </c>
      <c r="F327" s="2" t="s">
        <v>25</v>
      </c>
      <c r="G327" s="3">
        <v>20.0</v>
      </c>
      <c r="H327" s="3">
        <v>0.0</v>
      </c>
      <c r="I327" s="1" t="s">
        <v>25</v>
      </c>
      <c r="J327" s="3">
        <v>19.0</v>
      </c>
      <c r="K327" s="1">
        <v>5.0</v>
      </c>
      <c r="L327" s="1">
        <v>0.0</v>
      </c>
      <c r="M327" s="1" t="s">
        <v>37</v>
      </c>
      <c r="N327" s="1">
        <v>120.0</v>
      </c>
    </row>
    <row r="328">
      <c r="A328" s="1" t="s">
        <v>719</v>
      </c>
      <c r="B328" s="1" t="s">
        <v>720</v>
      </c>
      <c r="C328" s="1" t="s">
        <v>61</v>
      </c>
      <c r="D328" s="1" t="str">
        <f>IFERROR(
  VLOOKUP(C328, category_map!A:B, 2, FALSE),
  C328
)
</f>
        <v>Bữa ăn/Chế biến</v>
      </c>
      <c r="E328" s="1">
        <v>400.0</v>
      </c>
      <c r="F328" s="2">
        <v>18.0</v>
      </c>
      <c r="G328" s="3">
        <v>35.0</v>
      </c>
      <c r="H328" s="3">
        <v>22.0</v>
      </c>
      <c r="I328" s="1">
        <v>3.0</v>
      </c>
      <c r="J328" s="3">
        <v>2.0</v>
      </c>
      <c r="K328" s="1">
        <v>700.0</v>
      </c>
      <c r="L328" s="1">
        <v>50.0</v>
      </c>
      <c r="M328" s="1" t="s">
        <v>33</v>
      </c>
      <c r="N328" s="1">
        <v>250.0</v>
      </c>
    </row>
    <row r="329">
      <c r="A329" s="1" t="s">
        <v>721</v>
      </c>
      <c r="B329" s="1" t="s">
        <v>722</v>
      </c>
      <c r="C329" s="1" t="s">
        <v>261</v>
      </c>
      <c r="D329" s="1" t="str">
        <f>IFERROR(
  VLOOKUP(C329, category_map!A:B, 2, FALSE),
  C329
)
</f>
        <v>Gia vị/Sữa</v>
      </c>
      <c r="E329" s="1">
        <v>30.0</v>
      </c>
      <c r="F329" s="2" t="s">
        <v>29</v>
      </c>
      <c r="G329" s="3" t="s">
        <v>47</v>
      </c>
      <c r="H329" s="3">
        <v>46267.0</v>
      </c>
      <c r="I329" s="1">
        <v>0.0</v>
      </c>
      <c r="J329" s="3" t="s">
        <v>29</v>
      </c>
      <c r="K329" s="1">
        <v>12.0</v>
      </c>
      <c r="L329" s="1">
        <v>6.0</v>
      </c>
      <c r="M329" s="1" t="s">
        <v>33</v>
      </c>
      <c r="N329" s="1">
        <v>0.0</v>
      </c>
    </row>
    <row r="330">
      <c r="A330" s="1" t="s">
        <v>723</v>
      </c>
      <c r="B330" s="1" t="s">
        <v>724</v>
      </c>
      <c r="C330" s="1" t="s">
        <v>153</v>
      </c>
      <c r="D330" s="1" t="str">
        <f>IFERROR(
  VLOOKUP(C330, category_map!A:B, 2, FALSE),
  C330
)
</f>
        <v>Gia vị</v>
      </c>
      <c r="E330" s="1">
        <v>10.0</v>
      </c>
      <c r="F330" s="2" t="s">
        <v>36</v>
      </c>
      <c r="G330" s="3">
        <v>2.0</v>
      </c>
      <c r="H330" s="3">
        <v>0.0</v>
      </c>
      <c r="I330" s="1" t="s">
        <v>36</v>
      </c>
      <c r="J330" s="3">
        <v>1.0</v>
      </c>
      <c r="K330" s="1">
        <v>120.0</v>
      </c>
      <c r="L330" s="1">
        <v>0.0</v>
      </c>
      <c r="M330" s="1" t="s">
        <v>33</v>
      </c>
      <c r="N330" s="1">
        <v>0.0</v>
      </c>
    </row>
    <row r="331">
      <c r="A331" s="1" t="s">
        <v>725</v>
      </c>
      <c r="B331" s="1" t="s">
        <v>726</v>
      </c>
      <c r="C331" s="1" t="s">
        <v>46</v>
      </c>
      <c r="D331" s="1" t="str">
        <f>IFERROR(
  VLOOKUP(C331, category_map!A:B, 2, FALSE),
  C331
)
</f>
        <v>Rau củ</v>
      </c>
      <c r="E331" s="1">
        <v>22.0</v>
      </c>
      <c r="F331" s="2">
        <v>46023.0</v>
      </c>
      <c r="G331" s="3">
        <v>46058.0</v>
      </c>
      <c r="H331" s="3" t="s">
        <v>25</v>
      </c>
      <c r="I331" s="4">
        <v>46174.0</v>
      </c>
      <c r="J331" s="3">
        <v>46236.0</v>
      </c>
      <c r="K331" s="1">
        <v>8.0</v>
      </c>
      <c r="L331" s="1">
        <v>0.0</v>
      </c>
      <c r="M331" s="1" t="s">
        <v>41</v>
      </c>
      <c r="N331" s="1">
        <v>0.0</v>
      </c>
    </row>
    <row r="332">
      <c r="A332" s="1" t="s">
        <v>727</v>
      </c>
      <c r="B332" s="1" t="s">
        <v>728</v>
      </c>
      <c r="C332" s="1" t="s">
        <v>99</v>
      </c>
      <c r="D332" s="1" t="str">
        <f>IFERROR(
  VLOOKUP(C332, category_map!A:B, 2, FALSE),
  C332
)
</f>
        <v>Chất đạm/Thịt</v>
      </c>
      <c r="E332" s="1">
        <v>285.0</v>
      </c>
      <c r="F332" s="2">
        <v>16.0</v>
      </c>
      <c r="G332" s="3">
        <v>0.0</v>
      </c>
      <c r="H332" s="3">
        <v>24.0</v>
      </c>
      <c r="I332" s="1">
        <v>0.0</v>
      </c>
      <c r="J332" s="3">
        <v>0.0</v>
      </c>
      <c r="K332" s="1">
        <v>65.0</v>
      </c>
      <c r="L332" s="1">
        <v>72.0</v>
      </c>
      <c r="M332" s="1" t="s">
        <v>41</v>
      </c>
      <c r="N332" s="1">
        <v>0.0</v>
      </c>
    </row>
    <row r="333">
      <c r="A333" s="1" t="s">
        <v>729</v>
      </c>
      <c r="B333" s="1" t="s">
        <v>730</v>
      </c>
      <c r="C333" s="1" t="s">
        <v>153</v>
      </c>
      <c r="D333" s="1" t="str">
        <f>IFERROR(
  VLOOKUP(C333, category_map!A:B, 2, FALSE),
  C333
)
</f>
        <v>Gia vị</v>
      </c>
      <c r="E333" s="1">
        <v>90.0</v>
      </c>
      <c r="F333" s="2" t="s">
        <v>36</v>
      </c>
      <c r="G333" s="3">
        <v>22.0</v>
      </c>
      <c r="H333" s="3">
        <v>0.0</v>
      </c>
      <c r="I333" s="1" t="s">
        <v>36</v>
      </c>
      <c r="J333" s="3">
        <v>20.0</v>
      </c>
      <c r="K333" s="1">
        <v>200.0</v>
      </c>
      <c r="L333" s="1">
        <v>0.0</v>
      </c>
      <c r="M333" s="1" t="s">
        <v>41</v>
      </c>
      <c r="N333" s="1">
        <v>0.0</v>
      </c>
    </row>
    <row r="334">
      <c r="A334" s="1" t="s">
        <v>731</v>
      </c>
      <c r="B334" s="1" t="s">
        <v>732</v>
      </c>
      <c r="C334" s="1" t="s">
        <v>20</v>
      </c>
      <c r="D334" s="1" t="str">
        <f>IFERROR(
  VLOOKUP(C334, category_map!A:B, 2, FALSE),
  C334
)
</f>
        <v>Ngũ cốc</v>
      </c>
      <c r="E334" s="1">
        <v>166.0</v>
      </c>
      <c r="F334" s="2">
        <v>46148.0</v>
      </c>
      <c r="G334" s="3">
        <v>35.0</v>
      </c>
      <c r="H334" s="3" t="s">
        <v>47</v>
      </c>
      <c r="I334" s="1">
        <v>3.0</v>
      </c>
      <c r="J334" s="3">
        <v>46054.0</v>
      </c>
      <c r="K334" s="1">
        <v>5.0</v>
      </c>
      <c r="L334" s="1">
        <v>0.0</v>
      </c>
      <c r="M334" s="1" t="s">
        <v>41</v>
      </c>
      <c r="N334" s="1">
        <v>0.0</v>
      </c>
    </row>
    <row r="335">
      <c r="A335" s="1" t="s">
        <v>733</v>
      </c>
      <c r="B335" s="1" t="s">
        <v>734</v>
      </c>
      <c r="C335" s="1" t="s">
        <v>144</v>
      </c>
      <c r="D335" s="1" t="str">
        <f>IFERROR(
  VLOOKUP(C335, category_map!A:B, 2, FALSE),
  C335
)
</f>
        <v>Tráng miệng</v>
      </c>
      <c r="E335" s="1">
        <v>240.0</v>
      </c>
      <c r="F335" s="2">
        <v>2.0</v>
      </c>
      <c r="G335" s="3">
        <v>35.0</v>
      </c>
      <c r="H335" s="3">
        <v>11.0</v>
      </c>
      <c r="I335" s="1">
        <v>1.0</v>
      </c>
      <c r="J335" s="3">
        <v>25.0</v>
      </c>
      <c r="K335" s="1">
        <v>200.0</v>
      </c>
      <c r="L335" s="1">
        <v>30.0</v>
      </c>
      <c r="M335" s="1" t="s">
        <v>37</v>
      </c>
      <c r="N335" s="1">
        <v>0.0</v>
      </c>
    </row>
    <row r="336">
      <c r="A336" s="1" t="s">
        <v>735</v>
      </c>
      <c r="B336" s="1" t="s">
        <v>736</v>
      </c>
      <c r="C336" s="1" t="s">
        <v>153</v>
      </c>
      <c r="D336" s="1" t="str">
        <f>IFERROR(
  VLOOKUP(C336, category_map!A:B, 2, FALSE),
  C336
)
</f>
        <v>Gia vị</v>
      </c>
      <c r="E336" s="1">
        <v>140.0</v>
      </c>
      <c r="F336" s="2">
        <v>0.0</v>
      </c>
      <c r="G336" s="3">
        <v>22.0</v>
      </c>
      <c r="H336" s="3">
        <v>6.0</v>
      </c>
      <c r="I336" s="1">
        <v>0.0</v>
      </c>
      <c r="J336" s="3">
        <v>22.0</v>
      </c>
      <c r="K336" s="1">
        <v>65.0</v>
      </c>
      <c r="L336" s="1">
        <v>0.0</v>
      </c>
      <c r="M336" s="1" t="s">
        <v>37</v>
      </c>
      <c r="N336" s="1">
        <v>0.0</v>
      </c>
    </row>
    <row r="337">
      <c r="A337" s="1" t="s">
        <v>737</v>
      </c>
      <c r="B337" s="1" t="s">
        <v>738</v>
      </c>
      <c r="C337" s="1" t="s">
        <v>153</v>
      </c>
      <c r="D337" s="1" t="str">
        <f>IFERROR(
  VLOOKUP(C337, category_map!A:B, 2, FALSE),
  C337
)
</f>
        <v>Gia vị</v>
      </c>
      <c r="E337" s="1">
        <v>0.0</v>
      </c>
      <c r="F337" s="2">
        <v>0.0</v>
      </c>
      <c r="G337" s="3">
        <v>0.0</v>
      </c>
      <c r="H337" s="3">
        <v>0.0</v>
      </c>
      <c r="I337" s="1">
        <v>0.0</v>
      </c>
      <c r="J337" s="3">
        <v>0.0</v>
      </c>
      <c r="K337" s="1">
        <v>35.0</v>
      </c>
      <c r="L337" s="1">
        <v>0.0</v>
      </c>
      <c r="M337" s="1" t="s">
        <v>17</v>
      </c>
      <c r="N337" s="1">
        <v>0.0</v>
      </c>
    </row>
    <row r="338">
      <c r="A338" s="1" t="s">
        <v>739</v>
      </c>
      <c r="B338" s="1" t="s">
        <v>740</v>
      </c>
      <c r="C338" s="1" t="s">
        <v>99</v>
      </c>
      <c r="D338" s="1" t="str">
        <f>IFERROR(
  VLOOKUP(C338, category_map!A:B, 2, FALSE),
  C338
)
</f>
        <v>Chất đạm/Thịt</v>
      </c>
      <c r="E338" s="1">
        <v>150.0</v>
      </c>
      <c r="F338" s="2">
        <v>22.0</v>
      </c>
      <c r="G338" s="3">
        <v>0.0</v>
      </c>
      <c r="H338" s="3">
        <v>7.0</v>
      </c>
      <c r="I338" s="1">
        <v>0.0</v>
      </c>
      <c r="J338" s="3">
        <v>0.0</v>
      </c>
      <c r="K338" s="1">
        <v>65.0</v>
      </c>
      <c r="L338" s="1">
        <v>70.0</v>
      </c>
      <c r="M338" s="1" t="s">
        <v>33</v>
      </c>
      <c r="N338" s="1">
        <v>250.0</v>
      </c>
    </row>
    <row r="339">
      <c r="A339" s="1" t="s">
        <v>741</v>
      </c>
      <c r="B339" s="1" t="s">
        <v>742</v>
      </c>
      <c r="C339" s="1" t="s">
        <v>20</v>
      </c>
      <c r="D339" s="1" t="str">
        <f>IFERROR(
  VLOOKUP(C339, category_map!A:B, 2, FALSE),
  C339
)
</f>
        <v>Ngũ cốc</v>
      </c>
      <c r="E339" s="1">
        <v>230.0</v>
      </c>
      <c r="F339" s="2">
        <v>8.0</v>
      </c>
      <c r="G339" s="3">
        <v>45.0</v>
      </c>
      <c r="H339" s="3">
        <v>2.0</v>
      </c>
      <c r="I339" s="1">
        <v>2.0</v>
      </c>
      <c r="J339" s="3">
        <v>4.0</v>
      </c>
      <c r="K339" s="1">
        <v>550.0</v>
      </c>
      <c r="L339" s="1">
        <v>0.0</v>
      </c>
      <c r="M339" s="1" t="s">
        <v>33</v>
      </c>
      <c r="N339" s="1">
        <v>0.0</v>
      </c>
    </row>
    <row r="340">
      <c r="A340" s="1" t="s">
        <v>743</v>
      </c>
      <c r="B340" s="1" t="s">
        <v>744</v>
      </c>
      <c r="C340" s="1" t="s">
        <v>153</v>
      </c>
      <c r="D340" s="1" t="str">
        <f>IFERROR(
  VLOOKUP(C340, category_map!A:B, 2, FALSE),
  C340
)
</f>
        <v>Gia vị</v>
      </c>
      <c r="E340" s="1">
        <v>10.0</v>
      </c>
      <c r="F340" s="2" t="s">
        <v>36</v>
      </c>
      <c r="G340" s="3">
        <v>1.0</v>
      </c>
      <c r="H340" s="3" t="s">
        <v>36</v>
      </c>
      <c r="I340" s="1" t="s">
        <v>36</v>
      </c>
      <c r="J340" s="3">
        <v>0.0</v>
      </c>
      <c r="K340" s="1">
        <v>120.0</v>
      </c>
      <c r="L340" s="1">
        <v>0.0</v>
      </c>
      <c r="M340" s="1" t="s">
        <v>33</v>
      </c>
      <c r="N340" s="1">
        <v>0.0</v>
      </c>
    </row>
    <row r="341">
      <c r="A341" s="1" t="s">
        <v>745</v>
      </c>
      <c r="B341" s="1" t="s">
        <v>746</v>
      </c>
      <c r="C341" s="1" t="s">
        <v>66</v>
      </c>
      <c r="D341" s="1" t="str">
        <f>IFERROR(
  VLOOKUP(C341, category_map!A:B, 2, FALSE),
  C341
)
</f>
        <v>Bữa ăn/Mì ống</v>
      </c>
      <c r="E341" s="1">
        <v>280.0</v>
      </c>
      <c r="F341" s="2">
        <v>8.0</v>
      </c>
      <c r="G341" s="3">
        <v>30.0</v>
      </c>
      <c r="H341" s="3">
        <v>14.0</v>
      </c>
      <c r="I341" s="1">
        <v>4.0</v>
      </c>
      <c r="J341" s="3">
        <v>5.0</v>
      </c>
      <c r="K341" s="1">
        <v>450.0</v>
      </c>
      <c r="L341" s="1">
        <v>10.0</v>
      </c>
      <c r="M341" s="1" t="s">
        <v>33</v>
      </c>
      <c r="N341" s="1">
        <v>0.0</v>
      </c>
    </row>
    <row r="342">
      <c r="A342" s="1" t="s">
        <v>449</v>
      </c>
      <c r="B342" s="1" t="s">
        <v>747</v>
      </c>
      <c r="C342" s="1" t="s">
        <v>451</v>
      </c>
      <c r="D342" s="1" t="str">
        <f>IFERROR(
  VLOOKUP(C342, category_map!A:B, 2, FALSE),
  C342
)
</f>
        <v>Chất đạm/Chế biến</v>
      </c>
      <c r="E342" s="1">
        <v>110.0</v>
      </c>
      <c r="F342" s="2">
        <v>6.0</v>
      </c>
      <c r="G342" s="3">
        <v>1.0</v>
      </c>
      <c r="H342" s="3">
        <v>9.0</v>
      </c>
      <c r="I342" s="1">
        <v>0.0</v>
      </c>
      <c r="J342" s="3" t="s">
        <v>36</v>
      </c>
      <c r="K342" s="1">
        <v>500.0</v>
      </c>
      <c r="L342" s="1">
        <v>30.0</v>
      </c>
      <c r="M342" s="1" t="s">
        <v>33</v>
      </c>
      <c r="N342" s="1">
        <v>0.0</v>
      </c>
    </row>
    <row r="343">
      <c r="A343" s="1" t="s">
        <v>748</v>
      </c>
      <c r="B343" s="1" t="s">
        <v>749</v>
      </c>
      <c r="C343" s="1" t="s">
        <v>46</v>
      </c>
      <c r="D343" s="1" t="str">
        <f>IFERROR(
  VLOOKUP(C343, category_map!A:B, 2, FALSE),
  C343
)
</f>
        <v>Rau củ</v>
      </c>
      <c r="E343" s="1">
        <v>10.0</v>
      </c>
      <c r="F343" s="2" t="s">
        <v>36</v>
      </c>
      <c r="G343" s="3">
        <v>2.0</v>
      </c>
      <c r="H343" s="3">
        <v>0.0</v>
      </c>
      <c r="I343" s="1">
        <v>1.0</v>
      </c>
      <c r="J343" s="3">
        <v>1.0</v>
      </c>
      <c r="K343" s="1">
        <v>350.0</v>
      </c>
      <c r="L343" s="1">
        <v>0.0</v>
      </c>
      <c r="M343" s="1" t="s">
        <v>33</v>
      </c>
      <c r="N343" s="1">
        <v>0.0</v>
      </c>
    </row>
    <row r="344">
      <c r="A344" s="1" t="s">
        <v>750</v>
      </c>
      <c r="B344" s="1" t="s">
        <v>751</v>
      </c>
      <c r="C344" s="1" t="s">
        <v>153</v>
      </c>
      <c r="D344" s="1" t="str">
        <f>IFERROR(
  VLOOKUP(C344, category_map!A:B, 2, FALSE),
  C344
)
</f>
        <v>Gia vị</v>
      </c>
      <c r="E344" s="1">
        <v>111.0</v>
      </c>
      <c r="F344" s="2">
        <v>46023.0</v>
      </c>
      <c r="G344" s="3">
        <v>46267.0</v>
      </c>
      <c r="H344" s="3">
        <v>46184.0</v>
      </c>
      <c r="I344" s="1" t="s">
        <v>36</v>
      </c>
      <c r="J344" s="3">
        <v>46143.0</v>
      </c>
      <c r="K344" s="1">
        <v>8.0</v>
      </c>
      <c r="L344" s="1">
        <v>0.0</v>
      </c>
      <c r="M344" s="1" t="s">
        <v>41</v>
      </c>
      <c r="N344" s="1">
        <v>0.0</v>
      </c>
    </row>
    <row r="345">
      <c r="A345" s="1" t="s">
        <v>752</v>
      </c>
      <c r="B345" s="1" t="s">
        <v>753</v>
      </c>
      <c r="C345" s="1" t="s">
        <v>153</v>
      </c>
      <c r="D345" s="1" t="str">
        <f>IFERROR(
  VLOOKUP(C345, category_map!A:B, 2, FALSE),
  C345
)
</f>
        <v>Gia vị</v>
      </c>
      <c r="E345" s="1">
        <v>30.0</v>
      </c>
      <c r="F345" s="2" t="s">
        <v>36</v>
      </c>
      <c r="G345" s="3">
        <v>2.0</v>
      </c>
      <c r="H345" s="3">
        <v>46144.0</v>
      </c>
      <c r="I345" s="1">
        <v>1.0</v>
      </c>
      <c r="J345" s="3">
        <v>1.0</v>
      </c>
      <c r="K345" s="1">
        <v>400.0</v>
      </c>
      <c r="L345" s="1">
        <v>0.0</v>
      </c>
      <c r="M345" s="1" t="s">
        <v>41</v>
      </c>
      <c r="N345" s="1">
        <v>0.0</v>
      </c>
    </row>
    <row r="346">
      <c r="A346" s="1" t="s">
        <v>754</v>
      </c>
      <c r="B346" s="1" t="s">
        <v>755</v>
      </c>
      <c r="C346" s="1" t="s">
        <v>99</v>
      </c>
      <c r="D346" s="1" t="str">
        <f>IFERROR(
  VLOOKUP(C346, category_map!A:B, 2, FALSE),
  C346
)
</f>
        <v>Chất đạm/Thịt</v>
      </c>
      <c r="E346" s="1">
        <v>210.0</v>
      </c>
      <c r="F346" s="2">
        <v>24.0</v>
      </c>
      <c r="G346" s="3">
        <v>0.0</v>
      </c>
      <c r="H346" s="3">
        <v>13.0</v>
      </c>
      <c r="I346" s="1">
        <v>0.0</v>
      </c>
      <c r="J346" s="3">
        <v>0.0</v>
      </c>
      <c r="K346" s="1">
        <v>90.0</v>
      </c>
      <c r="L346" s="1">
        <v>120.0</v>
      </c>
      <c r="M346" s="1" t="s">
        <v>41</v>
      </c>
      <c r="N346" s="1">
        <v>0.0</v>
      </c>
    </row>
    <row r="347">
      <c r="A347" s="1" t="s">
        <v>756</v>
      </c>
      <c r="B347" s="1" t="s">
        <v>757</v>
      </c>
      <c r="C347" s="1" t="s">
        <v>20</v>
      </c>
      <c r="D347" s="1" t="str">
        <f>IFERROR(
  VLOOKUP(C347, category_map!A:B, 2, FALSE),
  C347
)
</f>
        <v>Ngũ cốc</v>
      </c>
      <c r="E347" s="1">
        <v>205.0</v>
      </c>
      <c r="F347" s="2">
        <v>46085.0</v>
      </c>
      <c r="G347" s="3">
        <v>45.0</v>
      </c>
      <c r="H347" s="3" t="s">
        <v>29</v>
      </c>
      <c r="I347" s="1" t="s">
        <v>47</v>
      </c>
      <c r="J347" s="3">
        <v>0.0</v>
      </c>
      <c r="K347" s="1">
        <v>2.0</v>
      </c>
      <c r="L347" s="1">
        <v>0.0</v>
      </c>
      <c r="M347" s="1" t="s">
        <v>41</v>
      </c>
      <c r="N347" s="1">
        <v>0.0</v>
      </c>
    </row>
    <row r="348">
      <c r="A348" s="1" t="s">
        <v>758</v>
      </c>
      <c r="B348" s="1" t="s">
        <v>759</v>
      </c>
      <c r="C348" s="1" t="s">
        <v>23</v>
      </c>
      <c r="D348" s="1" t="str">
        <f>IFERROR(
  VLOOKUP(C348, category_map!A:B, 2, FALSE),
  C348
)
</f>
        <v>Đồ uống</v>
      </c>
      <c r="E348" s="1">
        <v>250.0</v>
      </c>
      <c r="F348" s="2">
        <v>3.0</v>
      </c>
      <c r="G348" s="3">
        <v>35.0</v>
      </c>
      <c r="H348" s="3">
        <v>12.0</v>
      </c>
      <c r="I348" s="1">
        <v>0.0</v>
      </c>
      <c r="J348" s="3">
        <v>33.0</v>
      </c>
      <c r="K348" s="1">
        <v>50.0</v>
      </c>
      <c r="L348" s="1">
        <v>35.0</v>
      </c>
      <c r="M348" s="1" t="s">
        <v>37</v>
      </c>
      <c r="N348" s="1">
        <v>300.0</v>
      </c>
    </row>
    <row r="349">
      <c r="A349" s="1" t="s">
        <v>760</v>
      </c>
      <c r="B349" s="1" t="s">
        <v>761</v>
      </c>
      <c r="C349" s="1" t="s">
        <v>28</v>
      </c>
      <c r="D349" s="1" t="str">
        <f>IFERROR(
  VLOOKUP(C349, category_map!A:B, 2, FALSE),
  C349
)
</f>
        <v>Trái cây</v>
      </c>
      <c r="E349" s="1">
        <v>62.0</v>
      </c>
      <c r="F349" s="2" t="s">
        <v>47</v>
      </c>
      <c r="G349" s="3">
        <v>46218.0</v>
      </c>
      <c r="H349" s="3" t="s">
        <v>29</v>
      </c>
      <c r="I349" s="4">
        <v>46144.0</v>
      </c>
      <c r="J349" s="3">
        <v>11.0</v>
      </c>
      <c r="K349" s="1">
        <v>12.0</v>
      </c>
      <c r="L349" s="1">
        <v>0.0</v>
      </c>
      <c r="M349" s="1" t="s">
        <v>37</v>
      </c>
      <c r="N349" s="1">
        <v>0.0</v>
      </c>
    </row>
    <row r="350">
      <c r="A350" s="1" t="s">
        <v>762</v>
      </c>
      <c r="B350" s="1" t="s">
        <v>763</v>
      </c>
      <c r="C350" s="1" t="s">
        <v>153</v>
      </c>
      <c r="D350" s="1" t="str">
        <f>IFERROR(
  VLOOKUP(C350, category_map!A:B, 2, FALSE),
  C350
)
</f>
        <v>Gia vị</v>
      </c>
      <c r="E350" s="1">
        <v>4.0</v>
      </c>
      <c r="F350" s="2" t="s">
        <v>25</v>
      </c>
      <c r="G350" s="3">
        <v>46082.0</v>
      </c>
      <c r="H350" s="3">
        <v>0.0</v>
      </c>
      <c r="I350" s="1" t="s">
        <v>25</v>
      </c>
      <c r="J350" s="3" t="s">
        <v>55</v>
      </c>
      <c r="K350" s="1">
        <v>0.0</v>
      </c>
      <c r="L350" s="1">
        <v>0.0</v>
      </c>
      <c r="M350" s="1" t="s">
        <v>37</v>
      </c>
      <c r="N350" s="1">
        <v>0.0</v>
      </c>
    </row>
    <row r="351">
      <c r="A351" s="1" t="s">
        <v>764</v>
      </c>
      <c r="B351" s="1" t="s">
        <v>765</v>
      </c>
      <c r="C351" s="1" t="s">
        <v>66</v>
      </c>
      <c r="D351" s="1" t="str">
        <f>IFERROR(
  VLOOKUP(C351, category_map!A:B, 2, FALSE),
  C351
)
</f>
        <v>Bữa ăn/Mì ống</v>
      </c>
      <c r="E351" s="1">
        <v>380.0</v>
      </c>
      <c r="F351" s="2">
        <v>8.0</v>
      </c>
      <c r="G351" s="3">
        <v>30.0</v>
      </c>
      <c r="H351" s="3">
        <v>25.0</v>
      </c>
      <c r="I351" s="1">
        <v>3.0</v>
      </c>
      <c r="J351" s="3">
        <v>6.0</v>
      </c>
      <c r="K351" s="1">
        <v>750.0</v>
      </c>
      <c r="L351" s="1">
        <v>20.0</v>
      </c>
      <c r="M351" s="1" t="s">
        <v>33</v>
      </c>
      <c r="N351" s="1">
        <v>0.0</v>
      </c>
    </row>
    <row r="352">
      <c r="A352" s="1" t="s">
        <v>766</v>
      </c>
      <c r="B352" s="1" t="s">
        <v>767</v>
      </c>
      <c r="C352" s="1" t="s">
        <v>46</v>
      </c>
      <c r="D352" s="1" t="str">
        <f>IFERROR(
  VLOOKUP(C352, category_map!A:B, 2, FALSE),
  C352
)
</f>
        <v>Rau củ</v>
      </c>
      <c r="E352" s="1">
        <v>6.0</v>
      </c>
      <c r="F352" s="2" t="s">
        <v>24</v>
      </c>
      <c r="G352" s="3">
        <v>46054.0</v>
      </c>
      <c r="H352" s="3" t="s">
        <v>25</v>
      </c>
      <c r="I352" s="1" t="s">
        <v>47</v>
      </c>
      <c r="J352" s="3" t="s">
        <v>36</v>
      </c>
      <c r="K352" s="1">
        <v>32.0</v>
      </c>
      <c r="L352" s="1">
        <v>0.0</v>
      </c>
      <c r="M352" s="1" t="s">
        <v>33</v>
      </c>
      <c r="N352" s="1">
        <v>0.0</v>
      </c>
    </row>
    <row r="353">
      <c r="A353" s="1" t="s">
        <v>768</v>
      </c>
      <c r="B353" s="1" t="s">
        <v>769</v>
      </c>
      <c r="C353" s="1" t="s">
        <v>50</v>
      </c>
      <c r="D353" s="1" t="str">
        <f>IFERROR(
  VLOOKUP(C353, category_map!A:B, 2, FALSE),
  C353
)
</f>
        <v>Sản phẩm từ sữa</v>
      </c>
      <c r="E353" s="1">
        <v>100.0</v>
      </c>
      <c r="F353" s="2">
        <v>6.0</v>
      </c>
      <c r="G353" s="3" t="s">
        <v>186</v>
      </c>
      <c r="H353" s="3">
        <v>8.0</v>
      </c>
      <c r="I353" s="1">
        <v>0.0</v>
      </c>
      <c r="J353" s="3" t="s">
        <v>25</v>
      </c>
      <c r="K353" s="1">
        <v>325.0</v>
      </c>
      <c r="L353" s="1">
        <v>21.0</v>
      </c>
      <c r="M353" s="1" t="s">
        <v>37</v>
      </c>
      <c r="N353" s="1">
        <v>0.0</v>
      </c>
    </row>
    <row r="354">
      <c r="A354" s="1" t="s">
        <v>770</v>
      </c>
      <c r="B354" s="1" t="s">
        <v>771</v>
      </c>
      <c r="C354" s="1" t="s">
        <v>144</v>
      </c>
      <c r="D354" s="1" t="str">
        <f>IFERROR(
  VLOOKUP(C354, category_map!A:B, 2, FALSE),
  C354
)
</f>
        <v>Tráng miệng</v>
      </c>
      <c r="E354" s="1">
        <v>170.0</v>
      </c>
      <c r="F354" s="2">
        <v>46055.0</v>
      </c>
      <c r="G354" s="3">
        <v>13.0</v>
      </c>
      <c r="H354" s="3">
        <v>12.0</v>
      </c>
      <c r="I354" s="1">
        <v>3.0</v>
      </c>
      <c r="J354" s="3">
        <v>7.0</v>
      </c>
      <c r="K354" s="1">
        <v>5.0</v>
      </c>
      <c r="L354" s="1">
        <v>0.0</v>
      </c>
      <c r="M354" s="1" t="s">
        <v>37</v>
      </c>
      <c r="N354" s="1">
        <v>0.0</v>
      </c>
    </row>
    <row r="355">
      <c r="A355" s="1" t="s">
        <v>772</v>
      </c>
      <c r="B355" s="1" t="s">
        <v>773</v>
      </c>
      <c r="C355" s="1" t="s">
        <v>774</v>
      </c>
      <c r="D355" s="1" t="str">
        <f>IFERROR(
  VLOOKUP(C355, category_map!A:B, 2, FALSE),
  C355
)
</f>
        <v>Bữa ăn/Trái cây</v>
      </c>
      <c r="E355" s="1">
        <v>350.0</v>
      </c>
      <c r="F355" s="2">
        <v>5.0</v>
      </c>
      <c r="G355" s="3">
        <v>60.0</v>
      </c>
      <c r="H355" s="3">
        <v>12.0</v>
      </c>
      <c r="I355" s="1">
        <v>10.0</v>
      </c>
      <c r="J355" s="3">
        <v>30.0</v>
      </c>
      <c r="K355" s="1">
        <v>40.0</v>
      </c>
      <c r="L355" s="1">
        <v>0.0</v>
      </c>
      <c r="M355" s="1" t="s">
        <v>17</v>
      </c>
      <c r="N355" s="1">
        <v>250.0</v>
      </c>
    </row>
    <row r="356">
      <c r="A356" s="1" t="s">
        <v>775</v>
      </c>
      <c r="B356" s="1" t="s">
        <v>776</v>
      </c>
      <c r="C356" s="1" t="s">
        <v>20</v>
      </c>
      <c r="D356" s="1" t="str">
        <f>IFERROR(
  VLOOKUP(C356, category_map!A:B, 2, FALSE),
  C356
)
</f>
        <v>Ngũ cốc</v>
      </c>
      <c r="E356" s="1">
        <v>120.0</v>
      </c>
      <c r="F356" s="2">
        <v>3.0</v>
      </c>
      <c r="G356" s="3">
        <v>15.0</v>
      </c>
      <c r="H356" s="3">
        <v>6.0</v>
      </c>
      <c r="I356" s="1">
        <v>3.0</v>
      </c>
      <c r="J356" s="3">
        <v>7.0</v>
      </c>
      <c r="K356" s="1">
        <v>20.0</v>
      </c>
      <c r="L356" s="1">
        <v>0.0</v>
      </c>
      <c r="M356" s="1" t="s">
        <v>17</v>
      </c>
      <c r="N356" s="1">
        <v>0.0</v>
      </c>
    </row>
    <row r="357">
      <c r="A357" s="1" t="s">
        <v>777</v>
      </c>
      <c r="B357" s="1" t="s">
        <v>778</v>
      </c>
      <c r="C357" s="1" t="s">
        <v>28</v>
      </c>
      <c r="D357" s="1" t="str">
        <f>IFERROR(
  VLOOKUP(C357, category_map!A:B, 2, FALSE),
  C357
)
</f>
        <v>Trái cây</v>
      </c>
      <c r="E357" s="1">
        <v>35.0</v>
      </c>
      <c r="F357" s="2" t="s">
        <v>24</v>
      </c>
      <c r="G357" s="3">
        <v>46143.0</v>
      </c>
      <c r="H357" s="3">
        <v>46084.0</v>
      </c>
      <c r="I357" s="1" t="s">
        <v>186</v>
      </c>
      <c r="J357" s="3" t="s">
        <v>36</v>
      </c>
      <c r="K357" s="1">
        <v>1.0</v>
      </c>
      <c r="L357" s="1">
        <v>0.0</v>
      </c>
      <c r="M357" s="1" t="s">
        <v>17</v>
      </c>
      <c r="N357" s="1">
        <v>0.0</v>
      </c>
    </row>
    <row r="358">
      <c r="A358" s="1" t="s">
        <v>779</v>
      </c>
      <c r="B358" s="1" t="s">
        <v>780</v>
      </c>
      <c r="C358" s="1" t="s">
        <v>153</v>
      </c>
      <c r="D358" s="1" t="str">
        <f>IFERROR(
  VLOOKUP(C358, category_map!A:B, 2, FALSE),
  C358
)
</f>
        <v>Gia vị</v>
      </c>
      <c r="E358" s="1">
        <v>21.0</v>
      </c>
      <c r="F358" s="2">
        <v>0.0</v>
      </c>
      <c r="G358" s="3">
        <v>46239.0</v>
      </c>
      <c r="H358" s="3">
        <v>0.0</v>
      </c>
      <c r="I358" s="1">
        <v>0.0</v>
      </c>
      <c r="J358" s="3">
        <v>46239.0</v>
      </c>
      <c r="K358" s="1">
        <v>0.0</v>
      </c>
      <c r="L358" s="1">
        <v>0.0</v>
      </c>
      <c r="M358" s="1" t="s">
        <v>17</v>
      </c>
      <c r="N358" s="1">
        <v>0.0</v>
      </c>
    </row>
    <row r="359">
      <c r="A359" s="1" t="s">
        <v>781</v>
      </c>
      <c r="B359" s="1" t="s">
        <v>782</v>
      </c>
      <c r="C359" s="1" t="s">
        <v>264</v>
      </c>
      <c r="D359" s="1" t="str">
        <f>IFERROR(
  VLOOKUP(C359, category_map!A:B, 2, FALSE),
  C359
)
</f>
        <v>Chất đạm/Hải sản</v>
      </c>
      <c r="E359" s="1">
        <v>60.0</v>
      </c>
      <c r="F359" s="2">
        <v>10.0</v>
      </c>
      <c r="G359" s="3">
        <v>1.0</v>
      </c>
      <c r="H359" s="3">
        <v>1.0</v>
      </c>
      <c r="I359" s="1">
        <v>0.0</v>
      </c>
      <c r="J359" s="3" t="s">
        <v>36</v>
      </c>
      <c r="K359" s="1">
        <v>300.0</v>
      </c>
      <c r="L359" s="1">
        <v>110.0</v>
      </c>
      <c r="M359" s="1" t="s">
        <v>37</v>
      </c>
      <c r="N359" s="1">
        <v>0.0</v>
      </c>
    </row>
    <row r="360">
      <c r="A360" s="1" t="s">
        <v>783</v>
      </c>
      <c r="B360" s="1" t="s">
        <v>784</v>
      </c>
      <c r="C360" s="1" t="s">
        <v>153</v>
      </c>
      <c r="D360" s="1" t="str">
        <f>IFERROR(
  VLOOKUP(C360, category_map!A:B, 2, FALSE),
  C360
)
</f>
        <v>Gia vị</v>
      </c>
      <c r="E360" s="1">
        <v>30.0</v>
      </c>
      <c r="F360" s="2" t="s">
        <v>36</v>
      </c>
      <c r="G360" s="3">
        <v>7.0</v>
      </c>
      <c r="H360" s="3">
        <v>0.0</v>
      </c>
      <c r="I360" s="1" t="s">
        <v>36</v>
      </c>
      <c r="J360" s="3">
        <v>5.0</v>
      </c>
      <c r="K360" s="1">
        <v>450.0</v>
      </c>
      <c r="L360" s="1">
        <v>0.0</v>
      </c>
      <c r="M360" s="1" t="s">
        <v>37</v>
      </c>
      <c r="N360" s="1">
        <v>0.0</v>
      </c>
    </row>
    <row r="361">
      <c r="A361" s="1" t="s">
        <v>785</v>
      </c>
      <c r="B361" s="1" t="s">
        <v>786</v>
      </c>
      <c r="C361" s="1" t="s">
        <v>61</v>
      </c>
      <c r="D361" s="1" t="str">
        <f>IFERROR(
  VLOOKUP(C361, category_map!A:B, 2, FALSE),
  C361
)
</f>
        <v>Bữa ăn/Chế biến</v>
      </c>
      <c r="E361" s="1">
        <v>220.0</v>
      </c>
      <c r="F361" s="2">
        <v>8.0</v>
      </c>
      <c r="G361" s="3">
        <v>30.0</v>
      </c>
      <c r="H361" s="3">
        <v>8.0</v>
      </c>
      <c r="I361" s="1">
        <v>2.0</v>
      </c>
      <c r="J361" s="3">
        <v>6.0</v>
      </c>
      <c r="K361" s="1">
        <v>400.0</v>
      </c>
      <c r="L361" s="1">
        <v>20.0</v>
      </c>
      <c r="M361" s="1" t="s">
        <v>33</v>
      </c>
      <c r="N361" s="1">
        <v>0.0</v>
      </c>
    </row>
    <row r="362">
      <c r="A362" s="1" t="s">
        <v>787</v>
      </c>
      <c r="B362" s="1" t="s">
        <v>788</v>
      </c>
      <c r="C362" s="1" t="s">
        <v>61</v>
      </c>
      <c r="D362" s="1" t="str">
        <f>IFERROR(
  VLOOKUP(C362, category_map!A:B, 2, FALSE),
  C362
)
</f>
        <v>Bữa ăn/Chế biến</v>
      </c>
      <c r="E362" s="1">
        <v>180.0</v>
      </c>
      <c r="F362" s="2">
        <v>12.0</v>
      </c>
      <c r="G362" s="3">
        <v>10.0</v>
      </c>
      <c r="H362" s="3">
        <v>10.0</v>
      </c>
      <c r="I362" s="1">
        <v>2.0</v>
      </c>
      <c r="J362" s="3">
        <v>1.0</v>
      </c>
      <c r="K362" s="1">
        <v>550.0</v>
      </c>
      <c r="L362" s="1">
        <v>60.0</v>
      </c>
      <c r="M362" s="1" t="s">
        <v>33</v>
      </c>
      <c r="N362" s="1">
        <v>0.0</v>
      </c>
    </row>
    <row r="363">
      <c r="A363" s="1" t="s">
        <v>789</v>
      </c>
      <c r="B363" s="1" t="s">
        <v>790</v>
      </c>
      <c r="C363" s="1" t="s">
        <v>153</v>
      </c>
      <c r="D363" s="1" t="str">
        <f>IFERROR(
  VLOOKUP(C363, category_map!A:B, 2, FALSE),
  C363
)
</f>
        <v>Gia vị</v>
      </c>
      <c r="E363" s="1">
        <v>9.0</v>
      </c>
      <c r="F363" s="2">
        <v>1.0</v>
      </c>
      <c r="G363" s="3">
        <v>1.0</v>
      </c>
      <c r="H363" s="3">
        <v>0.0</v>
      </c>
      <c r="I363" s="1" t="s">
        <v>25</v>
      </c>
      <c r="J363" s="3" t="s">
        <v>29</v>
      </c>
      <c r="K363" s="1">
        <v>920.0</v>
      </c>
      <c r="L363" s="1">
        <v>0.0</v>
      </c>
      <c r="M363" s="1" t="s">
        <v>33</v>
      </c>
      <c r="N363" s="1">
        <v>0.0</v>
      </c>
    </row>
    <row r="364">
      <c r="A364" s="1" t="s">
        <v>791</v>
      </c>
      <c r="B364" s="1" t="s">
        <v>792</v>
      </c>
      <c r="C364" s="1" t="s">
        <v>264</v>
      </c>
      <c r="D364" s="1" t="str">
        <f>IFERROR(
  VLOOKUP(C364, category_map!A:B, 2, FALSE),
  C364
)
</f>
        <v>Chất đạm/Hải sản</v>
      </c>
      <c r="E364" s="1">
        <v>8.0</v>
      </c>
      <c r="F364" s="2">
        <v>1.0</v>
      </c>
      <c r="G364" s="3" t="s">
        <v>36</v>
      </c>
      <c r="H364" s="3" t="s">
        <v>55</v>
      </c>
      <c r="I364" s="1">
        <v>0.0</v>
      </c>
      <c r="J364" s="3">
        <v>0.0</v>
      </c>
      <c r="K364" s="1">
        <v>50.0</v>
      </c>
      <c r="L364" s="1">
        <v>10.0</v>
      </c>
      <c r="M364" s="1" t="s">
        <v>41</v>
      </c>
      <c r="N364" s="1">
        <v>0.0</v>
      </c>
    </row>
    <row r="365">
      <c r="A365" s="1" t="s">
        <v>793</v>
      </c>
      <c r="B365" s="1" t="s">
        <v>794</v>
      </c>
      <c r="C365" s="1" t="s">
        <v>153</v>
      </c>
      <c r="D365" s="1" t="str">
        <f>IFERROR(
  VLOOKUP(C365, category_map!A:B, 2, FALSE),
  C365
)
</f>
        <v>Gia vị</v>
      </c>
      <c r="E365" s="1">
        <v>5.0</v>
      </c>
      <c r="F365" s="2">
        <v>0.0</v>
      </c>
      <c r="G365" s="3">
        <v>1.0</v>
      </c>
      <c r="H365" s="3">
        <v>0.0</v>
      </c>
      <c r="I365" s="1">
        <v>0.0</v>
      </c>
      <c r="J365" s="3" t="s">
        <v>36</v>
      </c>
      <c r="K365" s="1">
        <v>30.0</v>
      </c>
      <c r="L365" s="1">
        <v>0.0</v>
      </c>
      <c r="M365" s="1" t="s">
        <v>41</v>
      </c>
      <c r="N365" s="1">
        <v>0.0</v>
      </c>
    </row>
    <row r="366">
      <c r="A366" s="1" t="s">
        <v>795</v>
      </c>
      <c r="B366" s="1" t="s">
        <v>796</v>
      </c>
      <c r="C366" s="1" t="s">
        <v>797</v>
      </c>
      <c r="D366" s="1" t="str">
        <f>IFERROR(
  VLOOKUP(C366, category_map!A:B, 2, FALSE),
  C366
)
</f>
        <v>Bữa ăn/Súp</v>
      </c>
      <c r="E366" s="1">
        <v>450.0</v>
      </c>
      <c r="F366" s="2">
        <v>30.0</v>
      </c>
      <c r="G366" s="3">
        <v>55.0</v>
      </c>
      <c r="H366" s="3">
        <v>12.0</v>
      </c>
      <c r="I366" s="1">
        <v>4.0</v>
      </c>
      <c r="J366" s="3">
        <v>5.0</v>
      </c>
      <c r="K366" s="1">
        <v>1500.0</v>
      </c>
      <c r="L366" s="1">
        <v>60.0</v>
      </c>
      <c r="M366" s="1" t="s">
        <v>41</v>
      </c>
      <c r="N366" s="1">
        <v>500.0</v>
      </c>
    </row>
    <row r="367">
      <c r="A367" s="1" t="s">
        <v>798</v>
      </c>
      <c r="B367" s="1" t="s">
        <v>799</v>
      </c>
      <c r="C367" s="1" t="s">
        <v>46</v>
      </c>
      <c r="D367" s="1" t="str">
        <f>IFERROR(
  VLOOKUP(C367, category_map!A:B, 2, FALSE),
  C367
)
</f>
        <v>Rau củ</v>
      </c>
      <c r="E367" s="1">
        <v>8.0</v>
      </c>
      <c r="F367" s="2" t="s">
        <v>131</v>
      </c>
      <c r="G367" s="3">
        <v>46143.0</v>
      </c>
      <c r="H367" s="3" t="s">
        <v>25</v>
      </c>
      <c r="I367" s="1" t="s">
        <v>29</v>
      </c>
      <c r="J367" s="3">
        <v>1.0</v>
      </c>
      <c r="K367" s="1">
        <v>1.0</v>
      </c>
      <c r="L367" s="1">
        <v>0.0</v>
      </c>
      <c r="M367" s="1" t="s">
        <v>41</v>
      </c>
      <c r="N367" s="1">
        <v>0.0</v>
      </c>
    </row>
    <row r="368">
      <c r="A368" s="1" t="s">
        <v>800</v>
      </c>
      <c r="B368" s="1" t="s">
        <v>801</v>
      </c>
      <c r="C368" s="1" t="s">
        <v>153</v>
      </c>
      <c r="D368" s="1" t="str">
        <f>IFERROR(
  VLOOKUP(C368, category_map!A:B, 2, FALSE),
  C368
)
</f>
        <v>Gia vị</v>
      </c>
      <c r="E368" s="1">
        <v>1.0</v>
      </c>
      <c r="F368" s="2" t="s">
        <v>25</v>
      </c>
      <c r="G368" s="3">
        <v>0.0</v>
      </c>
      <c r="H368" s="3">
        <v>0.0</v>
      </c>
      <c r="I368" s="1">
        <v>0.0</v>
      </c>
      <c r="J368" s="3">
        <v>0.0</v>
      </c>
      <c r="K368" s="1">
        <v>0.0</v>
      </c>
      <c r="L368" s="1">
        <v>0.0</v>
      </c>
      <c r="M368" s="1" t="s">
        <v>41</v>
      </c>
      <c r="N368" s="1">
        <v>0.0</v>
      </c>
    </row>
    <row r="369">
      <c r="A369" s="1" t="s">
        <v>802</v>
      </c>
      <c r="B369" s="1" t="s">
        <v>803</v>
      </c>
      <c r="C369" s="1" t="s">
        <v>153</v>
      </c>
      <c r="D369" s="1" t="str">
        <f>IFERROR(
  VLOOKUP(C369, category_map!A:B, 2, FALSE),
  C369
)
</f>
        <v>Gia vị</v>
      </c>
      <c r="E369" s="1">
        <v>3.0</v>
      </c>
      <c r="F369" s="2" t="s">
        <v>25</v>
      </c>
      <c r="G369" s="3">
        <v>1.0</v>
      </c>
      <c r="H369" s="3">
        <v>0.0</v>
      </c>
      <c r="I369" s="1" t="s">
        <v>24</v>
      </c>
      <c r="J369" s="3" t="s">
        <v>55</v>
      </c>
      <c r="K369" s="1">
        <v>0.0</v>
      </c>
      <c r="L369" s="1">
        <v>0.0</v>
      </c>
      <c r="M369" s="1" t="s">
        <v>41</v>
      </c>
      <c r="N369" s="1">
        <v>0.0</v>
      </c>
    </row>
    <row r="370">
      <c r="A370" s="1" t="s">
        <v>804</v>
      </c>
      <c r="B370" s="1" t="s">
        <v>805</v>
      </c>
      <c r="C370" s="1" t="s">
        <v>46</v>
      </c>
      <c r="D370" s="1" t="str">
        <f>IFERROR(
  VLOOKUP(C370, category_map!A:B, 2, FALSE),
  C370
)
</f>
        <v>Rau củ</v>
      </c>
      <c r="E370" s="1">
        <v>4.0</v>
      </c>
      <c r="F370" s="2" t="s">
        <v>25</v>
      </c>
      <c r="G370" s="3" t="s">
        <v>131</v>
      </c>
      <c r="H370" s="3" t="s">
        <v>25</v>
      </c>
      <c r="I370" s="1" t="s">
        <v>29</v>
      </c>
      <c r="J370" s="3" t="s">
        <v>36</v>
      </c>
      <c r="K370" s="1">
        <v>1.0</v>
      </c>
      <c r="L370" s="1">
        <v>0.0</v>
      </c>
      <c r="M370" s="1" t="s">
        <v>41</v>
      </c>
      <c r="N370" s="1">
        <v>0.0</v>
      </c>
    </row>
    <row r="371">
      <c r="A371" s="1" t="s">
        <v>806</v>
      </c>
      <c r="B371" s="1" t="s">
        <v>807</v>
      </c>
      <c r="C371" s="1" t="s">
        <v>153</v>
      </c>
      <c r="D371" s="1" t="str">
        <f>IFERROR(
  VLOOKUP(C371, category_map!A:B, 2, FALSE),
  C371
)
</f>
        <v>Gia vị</v>
      </c>
      <c r="E371" s="1">
        <v>35.0</v>
      </c>
      <c r="F371" s="2" t="s">
        <v>24</v>
      </c>
      <c r="G371" s="3">
        <v>8.0</v>
      </c>
      <c r="H371" s="3" t="s">
        <v>55</v>
      </c>
      <c r="I371" s="1" t="s">
        <v>25</v>
      </c>
      <c r="J371" s="3">
        <v>5.0</v>
      </c>
      <c r="K371" s="1">
        <v>220.0</v>
      </c>
      <c r="L371" s="1">
        <v>0.0</v>
      </c>
      <c r="M371" s="1" t="s">
        <v>41</v>
      </c>
      <c r="N371" s="1">
        <v>0.0</v>
      </c>
    </row>
    <row r="372">
      <c r="A372" s="1" t="s">
        <v>808</v>
      </c>
      <c r="B372" s="1" t="s">
        <v>809</v>
      </c>
      <c r="C372" s="1" t="s">
        <v>153</v>
      </c>
      <c r="D372" s="1" t="str">
        <f>IFERROR(
  VLOOKUP(C372, category_map!A:B, 2, FALSE),
  C372
)
</f>
        <v>Gia vị</v>
      </c>
      <c r="E372" s="1">
        <v>5.0</v>
      </c>
      <c r="F372" s="2" t="s">
        <v>25</v>
      </c>
      <c r="G372" s="3">
        <v>1.0</v>
      </c>
      <c r="H372" s="3" t="s">
        <v>25</v>
      </c>
      <c r="I372" s="1" t="s">
        <v>25</v>
      </c>
      <c r="J372" s="3" t="s">
        <v>131</v>
      </c>
      <c r="K372" s="1">
        <v>80.0</v>
      </c>
      <c r="L372" s="1">
        <v>0.0</v>
      </c>
      <c r="M372" s="1" t="s">
        <v>41</v>
      </c>
      <c r="N372" s="1">
        <v>0.0</v>
      </c>
    </row>
    <row r="373">
      <c r="A373" s="1" t="s">
        <v>810</v>
      </c>
      <c r="B373" s="1" t="s">
        <v>811</v>
      </c>
      <c r="C373" s="1" t="s">
        <v>20</v>
      </c>
      <c r="D373" s="1" t="str">
        <f>IFERROR(
  VLOOKUP(C373, category_map!A:B, 2, FALSE),
  C373
)
</f>
        <v>Ngũ cốc</v>
      </c>
      <c r="E373" s="1">
        <v>90.0</v>
      </c>
      <c r="F373" s="2">
        <v>46145.0</v>
      </c>
      <c r="G373" s="3">
        <v>14.0</v>
      </c>
      <c r="H373" s="3">
        <v>2.0</v>
      </c>
      <c r="I373" s="1" t="s">
        <v>36</v>
      </c>
      <c r="J373" s="3">
        <v>3.0</v>
      </c>
      <c r="K373" s="1">
        <v>100.0</v>
      </c>
      <c r="L373" s="1">
        <v>25.0</v>
      </c>
      <c r="M373" s="1" t="s">
        <v>17</v>
      </c>
      <c r="N373" s="1">
        <v>0.0</v>
      </c>
    </row>
    <row r="374">
      <c r="A374" s="1" t="s">
        <v>812</v>
      </c>
      <c r="B374" s="1" t="s">
        <v>813</v>
      </c>
      <c r="C374" s="1" t="s">
        <v>153</v>
      </c>
      <c r="D374" s="1" t="str">
        <f>IFERROR(
  VLOOKUP(C374, category_map!A:B, 2, FALSE),
  C374
)
</f>
        <v>Gia vị</v>
      </c>
      <c r="E374" s="1">
        <v>100.0</v>
      </c>
      <c r="F374" s="2">
        <v>46143.0</v>
      </c>
      <c r="G374" s="3">
        <v>11.0</v>
      </c>
      <c r="H374" s="3">
        <v>6.0</v>
      </c>
      <c r="I374" s="1">
        <v>1.0</v>
      </c>
      <c r="J374" s="3">
        <v>10.0</v>
      </c>
      <c r="K374" s="1">
        <v>10.0</v>
      </c>
      <c r="L374" s="1">
        <v>0.0</v>
      </c>
      <c r="M374" s="1" t="s">
        <v>17</v>
      </c>
      <c r="N374" s="1">
        <v>0.0</v>
      </c>
    </row>
    <row r="375">
      <c r="A375" s="1" t="s">
        <v>814</v>
      </c>
      <c r="B375" s="1" t="s">
        <v>815</v>
      </c>
      <c r="C375" s="1" t="s">
        <v>153</v>
      </c>
      <c r="D375" s="1" t="str">
        <f>IFERROR(
  VLOOKUP(C375, category_map!A:B, 2, FALSE),
  C375
)
</f>
        <v>Gia vị</v>
      </c>
      <c r="E375" s="1">
        <v>10.0</v>
      </c>
      <c r="F375" s="2">
        <v>0.0</v>
      </c>
      <c r="G375" s="3">
        <v>46144.0</v>
      </c>
      <c r="H375" s="3">
        <v>0.0</v>
      </c>
      <c r="I375" s="1">
        <v>0.0</v>
      </c>
      <c r="J375" s="3">
        <v>46144.0</v>
      </c>
      <c r="K375" s="1">
        <v>0.0</v>
      </c>
      <c r="L375" s="1">
        <v>0.0</v>
      </c>
      <c r="M375" s="1" t="s">
        <v>17</v>
      </c>
      <c r="N375" s="1">
        <v>0.0</v>
      </c>
    </row>
    <row r="376">
      <c r="A376" s="1" t="s">
        <v>816</v>
      </c>
      <c r="B376" s="1" t="s">
        <v>817</v>
      </c>
      <c r="C376" s="1" t="s">
        <v>23</v>
      </c>
      <c r="D376" s="1" t="str">
        <f>IFERROR(
  VLOOKUP(C376, category_map!A:B, 2, FALSE),
  C376
)
</f>
        <v>Đồ uống</v>
      </c>
      <c r="E376" s="1">
        <v>117.0</v>
      </c>
      <c r="F376" s="2" t="s">
        <v>29</v>
      </c>
      <c r="G376" s="3">
        <v>46237.0</v>
      </c>
      <c r="H376" s="3">
        <v>0.0</v>
      </c>
      <c r="I376" s="1">
        <v>0.0</v>
      </c>
      <c r="J376" s="3">
        <v>0.0</v>
      </c>
      <c r="K376" s="1">
        <v>4.0</v>
      </c>
      <c r="L376" s="1">
        <v>0.0</v>
      </c>
      <c r="M376" s="1" t="s">
        <v>41</v>
      </c>
      <c r="N376" s="1">
        <v>0.0</v>
      </c>
    </row>
    <row r="377">
      <c r="A377" s="1" t="s">
        <v>818</v>
      </c>
      <c r="B377" s="1" t="s">
        <v>819</v>
      </c>
      <c r="C377" s="1" t="s">
        <v>128</v>
      </c>
      <c r="D377" s="1" t="str">
        <f>IFERROR(
  VLOOKUP(C377, category_map!A:B, 2, FALSE),
  C377
)
</f>
        <v>Đậu</v>
      </c>
      <c r="E377" s="1">
        <v>120.0</v>
      </c>
      <c r="F377" s="2">
        <v>11.0</v>
      </c>
      <c r="G377" s="3">
        <v>9.0</v>
      </c>
      <c r="H377" s="3">
        <v>5.0</v>
      </c>
      <c r="I377" s="1">
        <v>5.0</v>
      </c>
      <c r="J377" s="3">
        <v>2.0</v>
      </c>
      <c r="K377" s="1">
        <v>9.0</v>
      </c>
      <c r="L377" s="1">
        <v>0.0</v>
      </c>
      <c r="M377" s="1" t="s">
        <v>37</v>
      </c>
      <c r="N377" s="1">
        <v>250.0</v>
      </c>
    </row>
    <row r="378">
      <c r="A378" s="1" t="s">
        <v>820</v>
      </c>
      <c r="B378" s="1" t="s">
        <v>821</v>
      </c>
      <c r="C378" s="1" t="s">
        <v>153</v>
      </c>
      <c r="D378" s="1" t="str">
        <f>IFERROR(
  VLOOKUP(C378, category_map!A:B, 2, FALSE),
  C378
)
</f>
        <v>Gia vị</v>
      </c>
      <c r="E378" s="1">
        <v>0.0</v>
      </c>
      <c r="F378" s="2">
        <v>0.0</v>
      </c>
      <c r="G378" s="3">
        <v>0.0</v>
      </c>
      <c r="H378" s="3">
        <v>0.0</v>
      </c>
      <c r="I378" s="1">
        <v>0.0</v>
      </c>
      <c r="J378" s="3">
        <v>0.0</v>
      </c>
      <c r="K378" s="1">
        <v>550.0</v>
      </c>
      <c r="L378" s="1">
        <v>0.0</v>
      </c>
      <c r="M378" s="1" t="s">
        <v>37</v>
      </c>
      <c r="N378" s="1">
        <v>0.0</v>
      </c>
    </row>
    <row r="379">
      <c r="A379" s="1" t="s">
        <v>822</v>
      </c>
      <c r="B379" s="1" t="s">
        <v>823</v>
      </c>
      <c r="C379" s="1" t="s">
        <v>216</v>
      </c>
      <c r="D379" s="1" t="str">
        <f>IFERROR(
  VLOOKUP(C379, category_map!A:B, 2, FALSE),
  C379
)
</f>
        <v>Bữa ăn/Thịt</v>
      </c>
      <c r="E379" s="1">
        <v>520.0</v>
      </c>
      <c r="F379" s="2">
        <v>28.0</v>
      </c>
      <c r="G379" s="3">
        <v>60.0</v>
      </c>
      <c r="H379" s="3">
        <v>18.0</v>
      </c>
      <c r="I379" s="1">
        <v>5.0</v>
      </c>
      <c r="J379" s="3">
        <v>6.0</v>
      </c>
      <c r="K379" s="1">
        <v>900.0</v>
      </c>
      <c r="L379" s="1">
        <v>75.0</v>
      </c>
      <c r="M379" s="1" t="s">
        <v>41</v>
      </c>
      <c r="N379" s="1">
        <v>0.0</v>
      </c>
    </row>
    <row r="380">
      <c r="A380" s="1" t="s">
        <v>824</v>
      </c>
      <c r="B380" s="1" t="s">
        <v>825</v>
      </c>
      <c r="C380" s="1" t="s">
        <v>261</v>
      </c>
      <c r="D380" s="1" t="str">
        <f>IFERROR(
  VLOOKUP(C380, category_map!A:B, 2, FALSE),
  C380
)
</f>
        <v>Gia vị/Sữa</v>
      </c>
      <c r="E380" s="1">
        <v>30.0</v>
      </c>
      <c r="F380" s="2">
        <v>1.0</v>
      </c>
      <c r="G380" s="3">
        <v>2.0</v>
      </c>
      <c r="H380" s="3">
        <v>2.0</v>
      </c>
      <c r="I380" s="1" t="s">
        <v>36</v>
      </c>
      <c r="J380" s="3">
        <v>46143.0</v>
      </c>
      <c r="K380" s="1">
        <v>100.0</v>
      </c>
      <c r="L380" s="1">
        <v>5.0</v>
      </c>
      <c r="M380" s="1" t="s">
        <v>41</v>
      </c>
      <c r="N380" s="1">
        <v>0.0</v>
      </c>
    </row>
    <row r="381">
      <c r="A381" s="1" t="s">
        <v>826</v>
      </c>
      <c r="B381" s="1" t="s">
        <v>827</v>
      </c>
      <c r="C381" s="1" t="s">
        <v>23</v>
      </c>
      <c r="D381" s="1" t="str">
        <f>IFERROR(
  VLOOKUP(C381, category_map!A:B, 2, FALSE),
  C381
)
</f>
        <v>Đồ uống</v>
      </c>
      <c r="E381" s="1">
        <v>180.0</v>
      </c>
      <c r="F381" s="2">
        <v>5.0</v>
      </c>
      <c r="G381" s="3">
        <v>30.0</v>
      </c>
      <c r="H381" s="3">
        <v>4.0</v>
      </c>
      <c r="I381" s="1">
        <v>1.0</v>
      </c>
      <c r="J381" s="3">
        <v>28.0</v>
      </c>
      <c r="K381" s="1">
        <v>60.0</v>
      </c>
      <c r="L381" s="1">
        <v>15.0</v>
      </c>
      <c r="M381" s="1" t="s">
        <v>37</v>
      </c>
      <c r="N381" s="1">
        <v>240.0</v>
      </c>
    </row>
    <row r="382">
      <c r="A382" s="1" t="s">
        <v>828</v>
      </c>
      <c r="B382" s="1" t="s">
        <v>829</v>
      </c>
      <c r="C382" s="1" t="s">
        <v>258</v>
      </c>
      <c r="D382" s="1" t="str">
        <f>IFERROR(
  VLOOKUP(C382, category_map!A:B, 2, FALSE),
  C382
)
</f>
        <v>Đồ ăn nhẹ/Chế biến</v>
      </c>
      <c r="E382" s="1">
        <v>130.0</v>
      </c>
      <c r="F382" s="2">
        <v>2.0</v>
      </c>
      <c r="G382" s="3">
        <v>18.0</v>
      </c>
      <c r="H382" s="3">
        <v>6.0</v>
      </c>
      <c r="I382" s="1">
        <v>2.0</v>
      </c>
      <c r="J382" s="3">
        <v>1.0</v>
      </c>
      <c r="K382" s="1">
        <v>300.0</v>
      </c>
      <c r="L382" s="1">
        <v>0.0</v>
      </c>
      <c r="M382" s="1" t="s">
        <v>37</v>
      </c>
      <c r="N382" s="1">
        <v>0.0</v>
      </c>
    </row>
    <row r="383">
      <c r="A383" s="1" t="s">
        <v>830</v>
      </c>
      <c r="B383" s="1" t="s">
        <v>831</v>
      </c>
      <c r="C383" s="1" t="s">
        <v>153</v>
      </c>
      <c r="D383" s="1" t="str">
        <f>IFERROR(
  VLOOKUP(C383, category_map!A:B, 2, FALSE),
  C383
)
</f>
        <v>Gia vị</v>
      </c>
      <c r="E383" s="1">
        <v>20.0</v>
      </c>
      <c r="F383" s="2" t="s">
        <v>25</v>
      </c>
      <c r="G383" s="3">
        <v>5.0</v>
      </c>
      <c r="H383" s="3">
        <v>0.0</v>
      </c>
      <c r="I383" s="1" t="s">
        <v>36</v>
      </c>
      <c r="J383" s="3">
        <v>4.0</v>
      </c>
      <c r="K383" s="1">
        <v>120.0</v>
      </c>
      <c r="L383" s="1">
        <v>0.0</v>
      </c>
      <c r="M383" s="1" t="s">
        <v>37</v>
      </c>
      <c r="N383" s="1">
        <v>0.0</v>
      </c>
    </row>
    <row r="384">
      <c r="A384" s="1" t="s">
        <v>832</v>
      </c>
      <c r="B384" s="1" t="s">
        <v>833</v>
      </c>
      <c r="C384" s="1" t="s">
        <v>153</v>
      </c>
      <c r="D384" s="1" t="str">
        <f>IFERROR(
  VLOOKUP(C384, category_map!A:B, 2, FALSE),
  C384
)
</f>
        <v>Gia vị</v>
      </c>
      <c r="E384" s="1">
        <v>5.0</v>
      </c>
      <c r="F384" s="2" t="s">
        <v>55</v>
      </c>
      <c r="G384" s="3" t="s">
        <v>36</v>
      </c>
      <c r="H384" s="3">
        <v>0.0</v>
      </c>
      <c r="I384" s="1" t="s">
        <v>24</v>
      </c>
      <c r="J384" s="3" t="s">
        <v>55</v>
      </c>
      <c r="K384" s="1">
        <v>150.0</v>
      </c>
      <c r="L384" s="1">
        <v>0.0</v>
      </c>
      <c r="M384" s="1" t="s">
        <v>37</v>
      </c>
      <c r="N384" s="1">
        <v>0.0</v>
      </c>
    </row>
    <row r="385">
      <c r="A385" s="1" t="s">
        <v>834</v>
      </c>
      <c r="B385" s="1" t="s">
        <v>835</v>
      </c>
      <c r="C385" s="1" t="s">
        <v>258</v>
      </c>
      <c r="D385" s="1" t="str">
        <f>IFERROR(
  VLOOKUP(C385, category_map!A:B, 2, FALSE),
  C385
)
</f>
        <v>Đồ ăn nhẹ/Chế biến</v>
      </c>
      <c r="E385" s="1">
        <v>200.0</v>
      </c>
      <c r="F385" s="2">
        <v>4.0</v>
      </c>
      <c r="G385" s="3">
        <v>35.0</v>
      </c>
      <c r="H385" s="3">
        <v>5.0</v>
      </c>
      <c r="I385" s="1">
        <v>3.0</v>
      </c>
      <c r="J385" s="3">
        <v>2.0</v>
      </c>
      <c r="K385" s="1">
        <v>400.0</v>
      </c>
      <c r="L385" s="1">
        <v>0.0</v>
      </c>
      <c r="M385" s="1" t="s">
        <v>37</v>
      </c>
      <c r="N385" s="1">
        <v>0.0</v>
      </c>
    </row>
    <row r="386">
      <c r="A386" s="1" t="s">
        <v>836</v>
      </c>
      <c r="B386" s="1" t="s">
        <v>837</v>
      </c>
      <c r="C386" s="1" t="s">
        <v>28</v>
      </c>
      <c r="D386" s="1" t="str">
        <f>IFERROR(
  VLOOKUP(C386, category_map!A:B, 2, FALSE),
  C386
)
</f>
        <v>Trái cây</v>
      </c>
      <c r="E386" s="1">
        <v>17.0</v>
      </c>
      <c r="F386" s="2" t="s">
        <v>29</v>
      </c>
      <c r="G386" s="3">
        <v>46057.0</v>
      </c>
      <c r="H386" s="3" t="s">
        <v>25</v>
      </c>
      <c r="I386" s="4">
        <v>46266.0</v>
      </c>
      <c r="J386" s="3">
        <v>2.0</v>
      </c>
      <c r="K386" s="1">
        <v>5.0</v>
      </c>
      <c r="L386" s="1">
        <v>0.0</v>
      </c>
      <c r="M386" s="1" t="s">
        <v>37</v>
      </c>
      <c r="N386" s="1">
        <v>0.0</v>
      </c>
    </row>
    <row r="387">
      <c r="A387" s="1" t="s">
        <v>838</v>
      </c>
      <c r="B387" s="1" t="s">
        <v>839</v>
      </c>
      <c r="C387" s="1" t="s">
        <v>797</v>
      </c>
      <c r="D387" s="1" t="str">
        <f>IFERROR(
  VLOOKUP(C387, category_map!A:B, 2, FALSE),
  C387
)
</f>
        <v>Bữa ăn/Súp</v>
      </c>
      <c r="E387" s="1">
        <v>350.0</v>
      </c>
      <c r="F387" s="2">
        <v>15.0</v>
      </c>
      <c r="G387" s="3">
        <v>20.0</v>
      </c>
      <c r="H387" s="3">
        <v>22.0</v>
      </c>
      <c r="I387" s="1">
        <v>5.0</v>
      </c>
      <c r="J387" s="3">
        <v>6.0</v>
      </c>
      <c r="K387" s="1">
        <v>1200.0</v>
      </c>
      <c r="L387" s="1">
        <v>30.0</v>
      </c>
      <c r="M387" s="1" t="s">
        <v>41</v>
      </c>
      <c r="N387" s="1">
        <v>500.0</v>
      </c>
    </row>
    <row r="388">
      <c r="A388" s="1" t="s">
        <v>840</v>
      </c>
      <c r="B388" s="1" t="s">
        <v>841</v>
      </c>
      <c r="C388" s="1" t="s">
        <v>161</v>
      </c>
      <c r="D388" s="1" t="str">
        <f>IFERROR(
  VLOOKUP(C388, category_map!A:B, 2, FALSE),
  C388
)
</f>
        <v>Chất đạm/Chay</v>
      </c>
      <c r="E388" s="1">
        <v>45.0</v>
      </c>
      <c r="F388" s="2">
        <v>5.0</v>
      </c>
      <c r="G388" s="3">
        <v>2.0</v>
      </c>
      <c r="H388" s="3">
        <v>46144.0</v>
      </c>
      <c r="I388" s="1" t="s">
        <v>36</v>
      </c>
      <c r="J388" s="3">
        <v>1.0</v>
      </c>
      <c r="K388" s="1">
        <v>5.0</v>
      </c>
      <c r="L388" s="1">
        <v>0.0</v>
      </c>
      <c r="M388" s="1" t="s">
        <v>41</v>
      </c>
      <c r="N388" s="1">
        <v>0.0</v>
      </c>
    </row>
    <row r="389">
      <c r="A389" s="1" t="s">
        <v>842</v>
      </c>
      <c r="B389" s="1" t="s">
        <v>843</v>
      </c>
      <c r="C389" s="1" t="s">
        <v>99</v>
      </c>
      <c r="D389" s="1" t="str">
        <f>IFERROR(
  VLOOKUP(C389, category_map!A:B, 2, FALSE),
  C389
)
</f>
        <v>Chất đạm/Thịt</v>
      </c>
      <c r="E389" s="1">
        <v>145.0</v>
      </c>
      <c r="F389" s="2">
        <v>3.0</v>
      </c>
      <c r="G389" s="3">
        <v>0.0</v>
      </c>
      <c r="H389" s="3">
        <v>15.0</v>
      </c>
      <c r="I389" s="1">
        <v>0.0</v>
      </c>
      <c r="J389" s="3">
        <v>0.0</v>
      </c>
      <c r="K389" s="1">
        <v>150.0</v>
      </c>
      <c r="L389" s="1">
        <v>20.0</v>
      </c>
      <c r="M389" s="1" t="s">
        <v>41</v>
      </c>
      <c r="N389" s="1">
        <v>0.0</v>
      </c>
    </row>
    <row r="390">
      <c r="A390" s="1" t="s">
        <v>844</v>
      </c>
      <c r="B390" s="1" t="s">
        <v>845</v>
      </c>
      <c r="C390" s="1" t="s">
        <v>153</v>
      </c>
      <c r="D390" s="1" t="str">
        <f>IFERROR(
  VLOOKUP(C390, category_map!A:B, 2, FALSE),
  C390
)
</f>
        <v>Gia vị</v>
      </c>
      <c r="E390" s="1">
        <v>10.0</v>
      </c>
      <c r="F390" s="2" t="s">
        <v>24</v>
      </c>
      <c r="G390" s="3">
        <v>46235.0</v>
      </c>
      <c r="H390" s="3" t="s">
        <v>24</v>
      </c>
      <c r="I390" s="1" t="s">
        <v>36</v>
      </c>
      <c r="J390" s="3" t="s">
        <v>24</v>
      </c>
      <c r="K390" s="1">
        <v>1.0</v>
      </c>
      <c r="L390" s="1">
        <v>0.0</v>
      </c>
      <c r="M390" s="1" t="s">
        <v>41</v>
      </c>
      <c r="N390" s="1">
        <v>0.0</v>
      </c>
    </row>
    <row r="391">
      <c r="A391" s="1" t="s">
        <v>846</v>
      </c>
      <c r="B391" s="1" t="s">
        <v>847</v>
      </c>
      <c r="C391" s="1" t="s">
        <v>153</v>
      </c>
      <c r="D391" s="1" t="str">
        <f>IFERROR(
  VLOOKUP(C391, category_map!A:B, 2, FALSE),
  C391
)
</f>
        <v>Gia vị</v>
      </c>
      <c r="E391" s="1">
        <v>30.0</v>
      </c>
      <c r="F391" s="2" t="s">
        <v>36</v>
      </c>
      <c r="G391" s="3">
        <v>6.0</v>
      </c>
      <c r="H391" s="3">
        <v>0.0</v>
      </c>
      <c r="I391" s="1" t="s">
        <v>36</v>
      </c>
      <c r="J391" s="3">
        <v>4.0</v>
      </c>
      <c r="K391" s="1">
        <v>200.0</v>
      </c>
      <c r="L391" s="1">
        <v>0.0</v>
      </c>
      <c r="M391" s="1" t="s">
        <v>41</v>
      </c>
      <c r="N391" s="1">
        <v>0.0</v>
      </c>
    </row>
    <row r="392">
      <c r="A392" s="1" t="s">
        <v>848</v>
      </c>
      <c r="B392" s="1" t="s">
        <v>849</v>
      </c>
      <c r="C392" s="1" t="s">
        <v>153</v>
      </c>
      <c r="D392" s="1" t="str">
        <f>IFERROR(
  VLOOKUP(C392, category_map!A:B, 2, FALSE),
  C392
)
</f>
        <v>Gia vị</v>
      </c>
      <c r="E392" s="1">
        <v>40.0</v>
      </c>
      <c r="F392" s="2">
        <v>0.0</v>
      </c>
      <c r="G392" s="3">
        <v>0.0</v>
      </c>
      <c r="H392" s="3">
        <v>46146.0</v>
      </c>
      <c r="I392" s="1">
        <v>0.0</v>
      </c>
      <c r="J392" s="3">
        <v>0.0</v>
      </c>
      <c r="K392" s="1">
        <v>0.0</v>
      </c>
      <c r="L392" s="1">
        <v>0.0</v>
      </c>
      <c r="M392" s="1" t="s">
        <v>41</v>
      </c>
      <c r="N392" s="1">
        <v>0.0</v>
      </c>
    </row>
    <row r="393">
      <c r="A393" s="1" t="s">
        <v>850</v>
      </c>
      <c r="B393" s="1" t="s">
        <v>851</v>
      </c>
      <c r="C393" s="1" t="s">
        <v>153</v>
      </c>
      <c r="D393" s="1" t="str">
        <f>IFERROR(
  VLOOKUP(C393, category_map!A:B, 2, FALSE),
  C393
)
</f>
        <v>Gia vị</v>
      </c>
      <c r="E393" s="1">
        <v>5.0</v>
      </c>
      <c r="F393" s="2" t="s">
        <v>29</v>
      </c>
      <c r="G393" s="3" t="s">
        <v>36</v>
      </c>
      <c r="H393" s="3">
        <v>0.0</v>
      </c>
      <c r="I393" s="1">
        <v>0.0</v>
      </c>
      <c r="J393" s="3" t="s">
        <v>29</v>
      </c>
      <c r="K393" s="1">
        <v>450.0</v>
      </c>
      <c r="L393" s="1">
        <v>0.0</v>
      </c>
      <c r="M393" s="1" t="s">
        <v>41</v>
      </c>
      <c r="N393" s="1">
        <v>0.0</v>
      </c>
    </row>
    <row r="394">
      <c r="A394" s="1" t="s">
        <v>852</v>
      </c>
      <c r="B394" s="1" t="s">
        <v>853</v>
      </c>
      <c r="C394" s="1" t="s">
        <v>153</v>
      </c>
      <c r="D394" s="1" t="str">
        <f>IFERROR(
  VLOOKUP(C394, category_map!A:B, 2, FALSE),
  C394
)
</f>
        <v>Gia vị</v>
      </c>
      <c r="E394" s="1">
        <v>16.0</v>
      </c>
      <c r="F394" s="2">
        <v>0.0</v>
      </c>
      <c r="G394" s="3">
        <v>4.0</v>
      </c>
      <c r="H394" s="3">
        <v>0.0</v>
      </c>
      <c r="I394" s="1">
        <v>0.0</v>
      </c>
      <c r="J394" s="3">
        <v>4.0</v>
      </c>
      <c r="K394" s="1">
        <v>0.0</v>
      </c>
      <c r="L394" s="1">
        <v>0.0</v>
      </c>
      <c r="M394" s="1" t="s">
        <v>41</v>
      </c>
      <c r="N394" s="1">
        <v>0.0</v>
      </c>
    </row>
    <row r="395">
      <c r="A395" s="1" t="s">
        <v>854</v>
      </c>
      <c r="B395" s="1" t="s">
        <v>855</v>
      </c>
      <c r="C395" s="1" t="s">
        <v>46</v>
      </c>
      <c r="D395" s="1" t="str">
        <f>IFERROR(
  VLOOKUP(C395, category_map!A:B, 2, FALSE),
  C395
)
</f>
        <v>Rau củ</v>
      </c>
      <c r="E395" s="1">
        <v>3.0</v>
      </c>
      <c r="F395" s="2" t="s">
        <v>55</v>
      </c>
      <c r="G395" s="3" t="s">
        <v>186</v>
      </c>
      <c r="H395" s="3">
        <v>0.0</v>
      </c>
      <c r="I395" s="1" t="s">
        <v>55</v>
      </c>
      <c r="J395" s="3" t="s">
        <v>55</v>
      </c>
      <c r="K395" s="1">
        <v>0.0</v>
      </c>
      <c r="L395" s="1">
        <v>0.0</v>
      </c>
      <c r="M395" s="1" t="s">
        <v>41</v>
      </c>
      <c r="N395" s="1">
        <v>0.0</v>
      </c>
    </row>
    <row r="396">
      <c r="A396" s="1" t="s">
        <v>856</v>
      </c>
      <c r="B396" s="1" t="s">
        <v>857</v>
      </c>
      <c r="C396" s="1" t="s">
        <v>23</v>
      </c>
      <c r="D396" s="1" t="str">
        <f>IFERROR(
  VLOOKUP(C396, category_map!A:B, 2, FALSE),
  C396
)
</f>
        <v>Đồ uống</v>
      </c>
      <c r="E396" s="1">
        <v>60.0</v>
      </c>
      <c r="F396" s="2">
        <v>0.0</v>
      </c>
      <c r="G396" s="3">
        <v>14.0</v>
      </c>
      <c r="H396" s="3">
        <v>0.0</v>
      </c>
      <c r="I396" s="1">
        <v>0.0</v>
      </c>
      <c r="J396" s="3">
        <v>12.0</v>
      </c>
      <c r="K396" s="1">
        <v>20.0</v>
      </c>
      <c r="L396" s="1">
        <v>0.0</v>
      </c>
      <c r="M396" s="1" t="s">
        <v>37</v>
      </c>
      <c r="N396" s="1">
        <v>473.0</v>
      </c>
    </row>
    <row r="397">
      <c r="A397" s="1" t="s">
        <v>858</v>
      </c>
      <c r="B397" s="1" t="s">
        <v>859</v>
      </c>
      <c r="C397" s="1" t="s">
        <v>216</v>
      </c>
      <c r="D397" s="1" t="str">
        <f>IFERROR(
  VLOOKUP(C397, category_map!A:B, 2, FALSE),
  C397
)
</f>
        <v>Bữa ăn/Thịt</v>
      </c>
      <c r="E397" s="1">
        <v>600.0</v>
      </c>
      <c r="F397" s="2">
        <v>30.0</v>
      </c>
      <c r="G397" s="3">
        <v>35.0</v>
      </c>
      <c r="H397" s="3">
        <v>38.0</v>
      </c>
      <c r="I397" s="1">
        <v>4.0</v>
      </c>
      <c r="J397" s="3">
        <v>4.0</v>
      </c>
      <c r="K397" s="1">
        <v>850.0</v>
      </c>
      <c r="L397" s="1">
        <v>100.0</v>
      </c>
      <c r="M397" s="1" t="s">
        <v>41</v>
      </c>
      <c r="N397" s="1">
        <v>0.0</v>
      </c>
    </row>
    <row r="398">
      <c r="A398" s="1" t="s">
        <v>860</v>
      </c>
      <c r="B398" s="1" t="s">
        <v>861</v>
      </c>
      <c r="C398" s="1" t="s">
        <v>153</v>
      </c>
      <c r="D398" s="1" t="str">
        <f>IFERROR(
  VLOOKUP(C398, category_map!A:B, 2, FALSE),
  C398
)
</f>
        <v>Gia vị</v>
      </c>
      <c r="E398" s="1">
        <v>70.0</v>
      </c>
      <c r="F398" s="2">
        <v>1.0</v>
      </c>
      <c r="G398" s="3">
        <v>2.0</v>
      </c>
      <c r="H398" s="3">
        <v>7.0</v>
      </c>
      <c r="I398" s="1">
        <v>1.0</v>
      </c>
      <c r="J398" s="3">
        <v>1.0</v>
      </c>
      <c r="K398" s="1">
        <v>100.0</v>
      </c>
      <c r="L398" s="1">
        <v>0.0</v>
      </c>
      <c r="M398" s="1" t="s">
        <v>41</v>
      </c>
      <c r="N398" s="1">
        <v>0.0</v>
      </c>
    </row>
    <row r="399">
      <c r="A399" s="1" t="s">
        <v>862</v>
      </c>
      <c r="B399" s="1" t="s">
        <v>863</v>
      </c>
      <c r="C399" s="1" t="s">
        <v>20</v>
      </c>
      <c r="D399" s="1" t="str">
        <f>IFERROR(
  VLOOKUP(C399, category_map!A:B, 2, FALSE),
  C399
)
</f>
        <v>Ngũ cốc</v>
      </c>
      <c r="E399" s="1">
        <v>115.0</v>
      </c>
      <c r="F399" s="2">
        <v>46143.0</v>
      </c>
      <c r="G399" s="3">
        <v>9.0</v>
      </c>
      <c r="H399" s="3">
        <v>8.0</v>
      </c>
      <c r="I399" s="1" t="s">
        <v>36</v>
      </c>
      <c r="J399" s="3">
        <v>0.0</v>
      </c>
      <c r="K399" s="1">
        <v>100.0</v>
      </c>
      <c r="L399" s="1">
        <v>0.0</v>
      </c>
      <c r="M399" s="1" t="s">
        <v>41</v>
      </c>
      <c r="N399" s="1">
        <v>0.0</v>
      </c>
    </row>
    <row r="400">
      <c r="A400" s="1" t="s">
        <v>864</v>
      </c>
      <c r="B400" s="1" t="s">
        <v>865</v>
      </c>
      <c r="C400" s="1" t="s">
        <v>99</v>
      </c>
      <c r="D400" s="1" t="str">
        <f>IFERROR(
  VLOOKUP(C400, category_map!A:B, 2, FALSE),
  C400
)
</f>
        <v>Chất đạm/Thịt</v>
      </c>
      <c r="E400" s="1">
        <v>35.0</v>
      </c>
      <c r="F400" s="2">
        <v>4.0</v>
      </c>
      <c r="G400" s="3">
        <v>0.0</v>
      </c>
      <c r="H400" s="3">
        <v>46144.0</v>
      </c>
      <c r="I400" s="1">
        <v>0.0</v>
      </c>
      <c r="J400" s="3">
        <v>0.0</v>
      </c>
      <c r="K400" s="1">
        <v>280.0</v>
      </c>
      <c r="L400" s="1">
        <v>10.0</v>
      </c>
      <c r="M400" s="1" t="s">
        <v>41</v>
      </c>
      <c r="N400" s="1">
        <v>0.0</v>
      </c>
    </row>
    <row r="401">
      <c r="A401" s="1" t="s">
        <v>866</v>
      </c>
      <c r="B401" s="1" t="s">
        <v>867</v>
      </c>
      <c r="C401" s="1" t="s">
        <v>46</v>
      </c>
      <c r="D401" s="1" t="str">
        <f>IFERROR(
  VLOOKUP(C401, category_map!A:B, 2, FALSE),
  C401
)
</f>
        <v>Rau củ</v>
      </c>
      <c r="E401" s="1">
        <v>40.0</v>
      </c>
      <c r="F401" s="2">
        <v>4.0</v>
      </c>
      <c r="G401" s="3">
        <v>4.0</v>
      </c>
      <c r="H401" s="3">
        <v>2.0</v>
      </c>
      <c r="I401" s="1">
        <v>3.0</v>
      </c>
      <c r="J401" s="3">
        <v>2.0</v>
      </c>
      <c r="K401" s="1">
        <v>150.0</v>
      </c>
      <c r="L401" s="1">
        <v>0.0</v>
      </c>
      <c r="M401" s="1" t="s">
        <v>41</v>
      </c>
      <c r="N401" s="1">
        <v>0.0</v>
      </c>
    </row>
    <row r="402">
      <c r="A402" s="1" t="s">
        <v>868</v>
      </c>
      <c r="B402" s="1" t="s">
        <v>869</v>
      </c>
      <c r="C402" s="1" t="s">
        <v>153</v>
      </c>
      <c r="D402" s="1" t="str">
        <f>IFERROR(
  VLOOKUP(C402, category_map!A:B, 2, FALSE),
  C402
)
</f>
        <v>Gia vị</v>
      </c>
      <c r="E402" s="1">
        <v>55.0</v>
      </c>
      <c r="F402" s="2" t="s">
        <v>36</v>
      </c>
      <c r="G402" s="3" t="s">
        <v>55</v>
      </c>
      <c r="H402" s="3">
        <v>6.0</v>
      </c>
      <c r="I402" s="1">
        <v>0.0</v>
      </c>
      <c r="J402" s="3" t="s">
        <v>25</v>
      </c>
      <c r="K402" s="1">
        <v>75.0</v>
      </c>
      <c r="L402" s="1">
        <v>25.0</v>
      </c>
      <c r="M402" s="1" t="s">
        <v>41</v>
      </c>
      <c r="N402" s="1">
        <v>0.0</v>
      </c>
    </row>
    <row r="403">
      <c r="A403" s="1" t="s">
        <v>870</v>
      </c>
      <c r="B403" s="1" t="s">
        <v>871</v>
      </c>
      <c r="C403" s="1" t="s">
        <v>144</v>
      </c>
      <c r="D403" s="1" t="str">
        <f>IFERROR(
  VLOOKUP(C403, category_map!A:B, 2, FALSE),
  C403
)
</f>
        <v>Tráng miệng</v>
      </c>
      <c r="E403" s="1">
        <v>220.0</v>
      </c>
      <c r="F403" s="2">
        <v>6.0</v>
      </c>
      <c r="G403" s="3">
        <v>35.0</v>
      </c>
      <c r="H403" s="3">
        <v>7.0</v>
      </c>
      <c r="I403" s="1">
        <v>0.0</v>
      </c>
      <c r="J403" s="3">
        <v>33.0</v>
      </c>
      <c r="K403" s="1">
        <v>80.0</v>
      </c>
      <c r="L403" s="1">
        <v>90.0</v>
      </c>
      <c r="M403" s="1" t="s">
        <v>37</v>
      </c>
      <c r="N403" s="1">
        <v>0.0</v>
      </c>
    </row>
    <row r="404">
      <c r="A404" s="1" t="s">
        <v>872</v>
      </c>
      <c r="B404" s="1" t="s">
        <v>873</v>
      </c>
      <c r="C404" s="1" t="s">
        <v>153</v>
      </c>
      <c r="D404" s="1" t="str">
        <f>IFERROR(
  VLOOKUP(C404, category_map!A:B, 2, FALSE),
  C404
)
</f>
        <v>Gia vị</v>
      </c>
      <c r="E404" s="1">
        <v>60.0</v>
      </c>
      <c r="F404" s="2">
        <v>0.0</v>
      </c>
      <c r="G404" s="3">
        <v>13.0</v>
      </c>
      <c r="H404" s="3">
        <v>1.0</v>
      </c>
      <c r="I404" s="1">
        <v>0.0</v>
      </c>
      <c r="J404" s="3">
        <v>12.0</v>
      </c>
      <c r="K404" s="1">
        <v>30.0</v>
      </c>
      <c r="L404" s="1">
        <v>5.0</v>
      </c>
      <c r="M404" s="1" t="s">
        <v>37</v>
      </c>
      <c r="N404" s="1">
        <v>0.0</v>
      </c>
    </row>
    <row r="405">
      <c r="A405" s="1" t="s">
        <v>874</v>
      </c>
      <c r="B405" s="1" t="s">
        <v>875</v>
      </c>
      <c r="C405" s="1" t="s">
        <v>267</v>
      </c>
      <c r="D405" s="1" t="str">
        <f>IFERROR(
  VLOOKUP(C405, category_map!A:B, 2, FALSE),
  C405
)
</f>
        <v>Bữa ăn/Ngũ cốc</v>
      </c>
      <c r="E405" s="1">
        <v>130.0</v>
      </c>
      <c r="F405" s="2">
        <v>46144.0</v>
      </c>
      <c r="G405" s="3">
        <v>28.0</v>
      </c>
      <c r="H405" s="3">
        <v>1.0</v>
      </c>
      <c r="I405" s="1">
        <v>1.0</v>
      </c>
      <c r="J405" s="3" t="s">
        <v>36</v>
      </c>
      <c r="K405" s="1">
        <v>300.0</v>
      </c>
      <c r="L405" s="1">
        <v>0.0</v>
      </c>
      <c r="M405" s="1" t="s">
        <v>17</v>
      </c>
      <c r="N405" s="1">
        <v>0.0</v>
      </c>
    </row>
    <row r="406">
      <c r="A406" s="1" t="s">
        <v>876</v>
      </c>
      <c r="B406" s="1" t="s">
        <v>877</v>
      </c>
      <c r="C406" s="1" t="s">
        <v>46</v>
      </c>
      <c r="D406" s="1" t="str">
        <f>IFERROR(
  VLOOKUP(C406, category_map!A:B, 2, FALSE),
  C406
)
</f>
        <v>Rau củ</v>
      </c>
      <c r="E406" s="1">
        <v>15.0</v>
      </c>
      <c r="F406" s="2" t="s">
        <v>36</v>
      </c>
      <c r="G406" s="3">
        <v>3.0</v>
      </c>
      <c r="H406" s="3">
        <v>0.0</v>
      </c>
      <c r="I406" s="1">
        <v>1.0</v>
      </c>
      <c r="J406" s="3">
        <v>2.0</v>
      </c>
      <c r="K406" s="1">
        <v>250.0</v>
      </c>
      <c r="L406" s="1">
        <v>0.0</v>
      </c>
      <c r="M406" s="1" t="s">
        <v>17</v>
      </c>
      <c r="N406" s="1">
        <v>0.0</v>
      </c>
    </row>
    <row r="407">
      <c r="A407" s="1" t="s">
        <v>878</v>
      </c>
      <c r="B407" s="1" t="s">
        <v>879</v>
      </c>
      <c r="C407" s="1" t="s">
        <v>99</v>
      </c>
      <c r="D407" s="1" t="str">
        <f>IFERROR(
  VLOOKUP(C407, category_map!A:B, 2, FALSE),
  C407
)
</f>
        <v>Chất đạm/Thịt</v>
      </c>
      <c r="E407" s="1">
        <v>50.0</v>
      </c>
      <c r="F407" s="2">
        <v>4.0</v>
      </c>
      <c r="G407" s="3">
        <v>3.0</v>
      </c>
      <c r="H407" s="3">
        <v>2.0</v>
      </c>
      <c r="I407" s="1">
        <v>0.0</v>
      </c>
      <c r="J407" s="3">
        <v>46144.0</v>
      </c>
      <c r="K407" s="1">
        <v>150.0</v>
      </c>
      <c r="L407" s="1">
        <v>10.0</v>
      </c>
      <c r="M407" s="1" t="s">
        <v>17</v>
      </c>
      <c r="N407" s="1">
        <v>0.0</v>
      </c>
    </row>
    <row r="408">
      <c r="A408" s="1" t="s">
        <v>880</v>
      </c>
      <c r="B408" s="1" t="s">
        <v>881</v>
      </c>
      <c r="C408" s="1" t="s">
        <v>111</v>
      </c>
      <c r="D408" s="1" t="str">
        <f>IFERROR(
  VLOOKUP(C408, category_map!A:B, 2, FALSE),
  C408
)
</f>
        <v>Chất đạm</v>
      </c>
      <c r="E408" s="1">
        <v>100.0</v>
      </c>
      <c r="F408" s="2">
        <v>7.0</v>
      </c>
      <c r="G408" s="3">
        <v>1.0</v>
      </c>
      <c r="H408" s="3">
        <v>7.0</v>
      </c>
      <c r="I408" s="1">
        <v>0.0</v>
      </c>
      <c r="J408" s="3" t="s">
        <v>36</v>
      </c>
      <c r="K408" s="1">
        <v>300.0</v>
      </c>
      <c r="L408" s="1">
        <v>200.0</v>
      </c>
      <c r="M408" s="1" t="s">
        <v>17</v>
      </c>
      <c r="N408" s="1">
        <v>0.0</v>
      </c>
    </row>
    <row r="409">
      <c r="A409" s="1" t="s">
        <v>882</v>
      </c>
      <c r="B409" s="1" t="s">
        <v>883</v>
      </c>
      <c r="C409" s="1" t="s">
        <v>46</v>
      </c>
      <c r="D409" s="1" t="str">
        <f>IFERROR(
  VLOOKUP(C409, category_map!A:B, 2, FALSE),
  C409
)
</f>
        <v>Rau củ</v>
      </c>
      <c r="E409" s="1">
        <v>10.0</v>
      </c>
      <c r="F409" s="2">
        <v>1.0</v>
      </c>
      <c r="G409" s="3" t="s">
        <v>131</v>
      </c>
      <c r="H409" s="3" t="s">
        <v>55</v>
      </c>
      <c r="I409" s="1" t="s">
        <v>29</v>
      </c>
      <c r="J409" s="3" t="s">
        <v>29</v>
      </c>
      <c r="K409" s="1">
        <v>6.0</v>
      </c>
      <c r="L409" s="1">
        <v>0.0</v>
      </c>
      <c r="M409" s="1" t="s">
        <v>33</v>
      </c>
      <c r="N409" s="1">
        <v>0.0</v>
      </c>
    </row>
    <row r="410">
      <c r="A410" s="1" t="s">
        <v>884</v>
      </c>
      <c r="B410" s="1" t="s">
        <v>885</v>
      </c>
      <c r="C410" s="1" t="s">
        <v>50</v>
      </c>
      <c r="D410" s="1" t="str">
        <f>IFERROR(
  VLOOKUP(C410, category_map!A:B, 2, FALSE),
  C410
)
</f>
        <v>Sản phẩm từ sữa</v>
      </c>
      <c r="E410" s="1">
        <v>103.0</v>
      </c>
      <c r="F410" s="2">
        <v>46028.0</v>
      </c>
      <c r="G410" s="3" t="s">
        <v>25</v>
      </c>
      <c r="H410" s="3">
        <v>46150.0</v>
      </c>
      <c r="I410" s="1">
        <v>0.0</v>
      </c>
      <c r="J410" s="3" t="s">
        <v>25</v>
      </c>
      <c r="K410" s="1">
        <v>146.0</v>
      </c>
      <c r="L410" s="1">
        <v>22.0</v>
      </c>
      <c r="M410" s="1" t="s">
        <v>33</v>
      </c>
      <c r="N410" s="1">
        <v>0.0</v>
      </c>
    </row>
    <row r="411">
      <c r="A411" s="1" t="s">
        <v>886</v>
      </c>
      <c r="B411" s="1" t="s">
        <v>887</v>
      </c>
      <c r="C411" s="1" t="s">
        <v>46</v>
      </c>
      <c r="D411" s="1" t="str">
        <f>IFERROR(
  VLOOKUP(C411, category_map!A:B, 2, FALSE),
  C411
)
</f>
        <v>Rau củ</v>
      </c>
      <c r="E411" s="1">
        <v>30.0</v>
      </c>
      <c r="F411" s="2" t="s">
        <v>131</v>
      </c>
      <c r="G411" s="3">
        <v>46240.0</v>
      </c>
      <c r="H411" s="3" t="s">
        <v>25</v>
      </c>
      <c r="I411" s="4">
        <v>46113.0</v>
      </c>
      <c r="J411" s="3">
        <v>46239.0</v>
      </c>
      <c r="K411" s="1">
        <v>50.0</v>
      </c>
      <c r="L411" s="1">
        <v>0.0</v>
      </c>
      <c r="M411" s="1" t="s">
        <v>33</v>
      </c>
      <c r="N411" s="1">
        <v>0.0</v>
      </c>
    </row>
    <row r="412">
      <c r="A412" s="1" t="s">
        <v>888</v>
      </c>
      <c r="B412" s="1" t="s">
        <v>889</v>
      </c>
      <c r="C412" s="1" t="s">
        <v>58</v>
      </c>
      <c r="D412" s="1" t="str">
        <f>IFERROR(
  VLOOKUP(C412, category_map!A:B, 2, FALSE),
  C412
)
</f>
        <v>Hạt</v>
      </c>
      <c r="E412" s="1">
        <v>46.0</v>
      </c>
      <c r="F412" s="2">
        <v>46023.0</v>
      </c>
      <c r="G412" s="3">
        <v>1.0</v>
      </c>
      <c r="H412" s="3">
        <v>46177.0</v>
      </c>
      <c r="I412" s="1" t="s">
        <v>36</v>
      </c>
      <c r="J412" s="3" t="s">
        <v>55</v>
      </c>
      <c r="K412" s="1">
        <v>0.0</v>
      </c>
      <c r="L412" s="1">
        <v>0.0</v>
      </c>
      <c r="M412" s="1" t="s">
        <v>33</v>
      </c>
      <c r="N412" s="1">
        <v>0.0</v>
      </c>
    </row>
    <row r="413">
      <c r="A413" s="1" t="s">
        <v>890</v>
      </c>
      <c r="B413" s="1" t="s">
        <v>891</v>
      </c>
      <c r="C413" s="1" t="s">
        <v>153</v>
      </c>
      <c r="D413" s="1" t="str">
        <f>IFERROR(
  VLOOKUP(C413, category_map!A:B, 2, FALSE),
  C413
)
</f>
        <v>Gia vị</v>
      </c>
      <c r="E413" s="1">
        <v>40.0</v>
      </c>
      <c r="F413" s="2">
        <v>0.0</v>
      </c>
      <c r="G413" s="3">
        <v>9.0</v>
      </c>
      <c r="H413" s="3">
        <v>0.0</v>
      </c>
      <c r="I413" s="1">
        <v>0.0</v>
      </c>
      <c r="J413" s="3">
        <v>8.0</v>
      </c>
      <c r="K413" s="1">
        <v>10.0</v>
      </c>
      <c r="L413" s="1">
        <v>0.0</v>
      </c>
      <c r="M413" s="1" t="s">
        <v>33</v>
      </c>
      <c r="N413" s="1">
        <v>0.0</v>
      </c>
    </row>
    <row r="414">
      <c r="A414" s="1" t="s">
        <v>892</v>
      </c>
      <c r="B414" s="1" t="s">
        <v>893</v>
      </c>
      <c r="C414" s="1" t="s">
        <v>216</v>
      </c>
      <c r="D414" s="1" t="str">
        <f>IFERROR(
  VLOOKUP(C414, category_map!A:B, 2, FALSE),
  C414
)
</f>
        <v>Bữa ăn/Thịt</v>
      </c>
      <c r="E414" s="1">
        <v>450.0</v>
      </c>
      <c r="F414" s="2">
        <v>25.0</v>
      </c>
      <c r="G414" s="3">
        <v>30.0</v>
      </c>
      <c r="H414" s="3">
        <v>25.0</v>
      </c>
      <c r="I414" s="1">
        <v>5.0</v>
      </c>
      <c r="J414" s="3">
        <v>15.0</v>
      </c>
      <c r="K414" s="1">
        <v>700.0</v>
      </c>
      <c r="L414" s="1">
        <v>150.0</v>
      </c>
      <c r="M414" s="1" t="s">
        <v>41</v>
      </c>
      <c r="N414" s="1">
        <v>0.0</v>
      </c>
    </row>
    <row r="415">
      <c r="A415" s="1" t="s">
        <v>894</v>
      </c>
      <c r="B415" s="1" t="s">
        <v>895</v>
      </c>
      <c r="C415" s="1" t="s">
        <v>20</v>
      </c>
      <c r="D415" s="1" t="str">
        <f>IFERROR(
  VLOOKUP(C415, category_map!A:B, 2, FALSE),
  C415
)
</f>
        <v>Ngũ cốc</v>
      </c>
      <c r="E415" s="1">
        <v>230.0</v>
      </c>
      <c r="F415" s="2">
        <v>4.0</v>
      </c>
      <c r="G415" s="3">
        <v>50.0</v>
      </c>
      <c r="H415" s="3">
        <v>1.0</v>
      </c>
      <c r="I415" s="1">
        <v>2.0</v>
      </c>
      <c r="J415" s="3">
        <v>1.0</v>
      </c>
      <c r="K415" s="1">
        <v>300.0</v>
      </c>
      <c r="L415" s="1">
        <v>0.0</v>
      </c>
      <c r="M415" s="1" t="s">
        <v>41</v>
      </c>
      <c r="N415" s="1">
        <v>0.0</v>
      </c>
    </row>
    <row r="416">
      <c r="A416" s="1" t="s">
        <v>896</v>
      </c>
      <c r="B416" s="1" t="s">
        <v>897</v>
      </c>
      <c r="C416" s="1" t="s">
        <v>153</v>
      </c>
      <c r="D416" s="1" t="str">
        <f>IFERROR(
  VLOOKUP(C416, category_map!A:B, 2, FALSE),
  C416
)
</f>
        <v>Gia vị</v>
      </c>
      <c r="E416" s="1">
        <v>45.0</v>
      </c>
      <c r="F416" s="2" t="s">
        <v>25</v>
      </c>
      <c r="G416" s="3">
        <v>11.0</v>
      </c>
      <c r="H416" s="3" t="s">
        <v>25</v>
      </c>
      <c r="I416" s="1" t="s">
        <v>36</v>
      </c>
      <c r="J416" s="3">
        <v>10.0</v>
      </c>
      <c r="K416" s="1">
        <v>180.0</v>
      </c>
      <c r="L416" s="1">
        <v>0.0</v>
      </c>
      <c r="M416" s="1" t="s">
        <v>41</v>
      </c>
      <c r="N416" s="1">
        <v>0.0</v>
      </c>
    </row>
    <row r="417">
      <c r="A417" s="1" t="s">
        <v>898</v>
      </c>
      <c r="B417" s="1" t="s">
        <v>899</v>
      </c>
      <c r="C417" s="1" t="s">
        <v>144</v>
      </c>
      <c r="D417" s="1" t="str">
        <f>IFERROR(
  VLOOKUP(C417, category_map!A:B, 2, FALSE),
  C417
)
</f>
        <v>Tráng miệng</v>
      </c>
      <c r="E417" s="1">
        <v>380.0</v>
      </c>
      <c r="F417" s="2">
        <v>5.0</v>
      </c>
      <c r="G417" s="3">
        <v>60.0</v>
      </c>
      <c r="H417" s="3">
        <v>14.0</v>
      </c>
      <c r="I417" s="1">
        <v>2.0</v>
      </c>
      <c r="J417" s="3">
        <v>40.0</v>
      </c>
      <c r="K417" s="1">
        <v>350.0</v>
      </c>
      <c r="L417" s="1">
        <v>60.0</v>
      </c>
      <c r="M417" s="1" t="s">
        <v>37</v>
      </c>
      <c r="N417" s="1">
        <v>0.0</v>
      </c>
    </row>
    <row r="418">
      <c r="A418" s="1" t="s">
        <v>900</v>
      </c>
      <c r="B418" s="1" t="s">
        <v>901</v>
      </c>
      <c r="C418" s="1" t="s">
        <v>153</v>
      </c>
      <c r="D418" s="1" t="str">
        <f>IFERROR(
  VLOOKUP(C418, category_map!A:B, 2, FALSE),
  C418
)
</f>
        <v>Gia vị</v>
      </c>
      <c r="E418" s="1">
        <v>80.0</v>
      </c>
      <c r="F418" s="2">
        <v>3.0</v>
      </c>
      <c r="G418" s="3">
        <v>10.0</v>
      </c>
      <c r="H418" s="3">
        <v>3.0</v>
      </c>
      <c r="I418" s="1">
        <v>0.0</v>
      </c>
      <c r="J418" s="3">
        <v>8.0</v>
      </c>
      <c r="K418" s="1">
        <v>40.0</v>
      </c>
      <c r="L418" s="1">
        <v>40.0</v>
      </c>
      <c r="M418" s="1" t="s">
        <v>37</v>
      </c>
      <c r="N418" s="1">
        <v>0.0</v>
      </c>
    </row>
    <row r="419">
      <c r="A419" s="1" t="s">
        <v>902</v>
      </c>
      <c r="B419" s="1" t="s">
        <v>903</v>
      </c>
      <c r="C419" s="1" t="s">
        <v>23</v>
      </c>
      <c r="D419" s="1" t="str">
        <f>IFERROR(
  VLOOKUP(C419, category_map!A:B, 2, FALSE),
  C419
)
</f>
        <v>Đồ uống</v>
      </c>
      <c r="E419" s="1">
        <v>320.0</v>
      </c>
      <c r="F419" s="2">
        <v>2.0</v>
      </c>
      <c r="G419" s="3">
        <v>70.0</v>
      </c>
      <c r="H419" s="3">
        <v>4.0</v>
      </c>
      <c r="I419" s="1">
        <v>1.0</v>
      </c>
      <c r="J419" s="3">
        <v>60.0</v>
      </c>
      <c r="K419" s="1">
        <v>100.0</v>
      </c>
      <c r="L419" s="1">
        <v>10.0</v>
      </c>
      <c r="M419" s="1" t="s">
        <v>37</v>
      </c>
      <c r="N419" s="1">
        <v>473.0</v>
      </c>
    </row>
    <row r="420">
      <c r="A420" s="1" t="s">
        <v>904</v>
      </c>
      <c r="B420" s="1" t="s">
        <v>905</v>
      </c>
      <c r="C420" s="1" t="s">
        <v>153</v>
      </c>
      <c r="D420" s="1" t="str">
        <f>IFERROR(
  VLOOKUP(C420, category_map!A:B, 2, FALSE),
  C420
)
</f>
        <v>Gia vị</v>
      </c>
      <c r="E420" s="1">
        <v>100.0</v>
      </c>
      <c r="F420" s="2">
        <v>0.0</v>
      </c>
      <c r="G420" s="3">
        <v>25.0</v>
      </c>
      <c r="H420" s="3">
        <v>0.0</v>
      </c>
      <c r="I420" s="1">
        <v>0.0</v>
      </c>
      <c r="J420" s="3">
        <v>20.0</v>
      </c>
      <c r="K420" s="1">
        <v>5.0</v>
      </c>
      <c r="L420" s="1">
        <v>0.0</v>
      </c>
      <c r="M420" s="1" t="s">
        <v>37</v>
      </c>
      <c r="N420" s="1">
        <v>0.0</v>
      </c>
    </row>
    <row r="421">
      <c r="A421" s="1" t="s">
        <v>906</v>
      </c>
      <c r="B421" s="1" t="s">
        <v>907</v>
      </c>
      <c r="C421" s="1" t="s">
        <v>908</v>
      </c>
      <c r="D421" s="1" t="str">
        <f>IFERROR(
  VLOOKUP(C421, category_map!A:B, 2, FALSE),
  C421
)
</f>
        <v>Bữa ăn/Cơm</v>
      </c>
      <c r="E421" s="1">
        <v>550.0</v>
      </c>
      <c r="F421" s="2">
        <v>30.0</v>
      </c>
      <c r="G421" s="3">
        <v>70.0</v>
      </c>
      <c r="H421" s="3">
        <v>18.0</v>
      </c>
      <c r="I421" s="1">
        <v>6.0</v>
      </c>
      <c r="J421" s="3">
        <v>5.0</v>
      </c>
      <c r="K421" s="1">
        <v>1200.0</v>
      </c>
      <c r="L421" s="1">
        <v>110.0</v>
      </c>
      <c r="M421" s="1" t="s">
        <v>41</v>
      </c>
      <c r="N421" s="1">
        <v>0.0</v>
      </c>
    </row>
    <row r="422">
      <c r="A422" s="1" t="s">
        <v>909</v>
      </c>
      <c r="B422" s="1" t="s">
        <v>910</v>
      </c>
      <c r="C422" s="1" t="s">
        <v>99</v>
      </c>
      <c r="D422" s="1" t="str">
        <f>IFERROR(
  VLOOKUP(C422, category_map!A:B, 2, FALSE),
  C422
)
</f>
        <v>Chất đạm/Thịt</v>
      </c>
      <c r="E422" s="1">
        <v>130.0</v>
      </c>
      <c r="F422" s="2">
        <v>6.0</v>
      </c>
      <c r="G422" s="3">
        <v>1.0</v>
      </c>
      <c r="H422" s="3">
        <v>11.0</v>
      </c>
      <c r="I422" s="1">
        <v>0.0</v>
      </c>
      <c r="J422" s="3" t="s">
        <v>36</v>
      </c>
      <c r="K422" s="1">
        <v>350.0</v>
      </c>
      <c r="L422" s="1">
        <v>30.0</v>
      </c>
      <c r="M422" s="1" t="s">
        <v>41</v>
      </c>
      <c r="N422" s="1">
        <v>0.0</v>
      </c>
    </row>
    <row r="423">
      <c r="A423" s="1" t="s">
        <v>911</v>
      </c>
      <c r="B423" s="1" t="s">
        <v>912</v>
      </c>
      <c r="C423" s="1" t="s">
        <v>153</v>
      </c>
      <c r="D423" s="1" t="str">
        <f>IFERROR(
  VLOOKUP(C423, category_map!A:B, 2, FALSE),
  C423
)
</f>
        <v>Gia vị</v>
      </c>
      <c r="E423" s="1">
        <v>1.0</v>
      </c>
      <c r="F423" s="2">
        <v>0.0</v>
      </c>
      <c r="G423" s="3" t="s">
        <v>25</v>
      </c>
      <c r="H423" s="3">
        <v>0.0</v>
      </c>
      <c r="I423" s="1">
        <v>0.0</v>
      </c>
      <c r="J423" s="3">
        <v>0.0</v>
      </c>
      <c r="K423" s="1">
        <v>0.0</v>
      </c>
      <c r="L423" s="1">
        <v>0.0</v>
      </c>
      <c r="M423" s="1" t="s">
        <v>41</v>
      </c>
      <c r="N423" s="1">
        <v>0.0</v>
      </c>
    </row>
    <row r="424">
      <c r="A424" s="1" t="s">
        <v>913</v>
      </c>
      <c r="B424" s="1" t="s">
        <v>914</v>
      </c>
      <c r="C424" s="1" t="s">
        <v>153</v>
      </c>
      <c r="D424" s="1" t="str">
        <f>IFERROR(
  VLOOKUP(C424, category_map!A:B, 2, FALSE),
  C424
)
</f>
        <v>Gia vị</v>
      </c>
      <c r="E424" s="1">
        <v>95.0</v>
      </c>
      <c r="F424" s="2" t="s">
        <v>25</v>
      </c>
      <c r="G424" s="3" t="s">
        <v>36</v>
      </c>
      <c r="H424" s="3">
        <v>46152.0</v>
      </c>
      <c r="I424" s="1">
        <v>0.0</v>
      </c>
      <c r="J424" s="3" t="s">
        <v>25</v>
      </c>
      <c r="K424" s="1">
        <v>70.0</v>
      </c>
      <c r="L424" s="1">
        <v>5.0</v>
      </c>
      <c r="M424" s="1" t="s">
        <v>41</v>
      </c>
      <c r="N424" s="1">
        <v>0.0</v>
      </c>
    </row>
    <row r="425">
      <c r="A425" s="1" t="s">
        <v>915</v>
      </c>
      <c r="B425" s="1" t="s">
        <v>916</v>
      </c>
      <c r="C425" s="1" t="s">
        <v>797</v>
      </c>
      <c r="D425" s="1" t="str">
        <f>IFERROR(
  VLOOKUP(C425, category_map!A:B, 2, FALSE),
  C425
)
</f>
        <v>Bữa ăn/Súp</v>
      </c>
      <c r="E425" s="1">
        <v>90.0</v>
      </c>
      <c r="F425" s="2">
        <v>2.0</v>
      </c>
      <c r="G425" s="3">
        <v>12.0</v>
      </c>
      <c r="H425" s="3">
        <v>4.0</v>
      </c>
      <c r="I425" s="1">
        <v>3.0</v>
      </c>
      <c r="J425" s="3">
        <v>7.0</v>
      </c>
      <c r="K425" s="1">
        <v>600.0</v>
      </c>
      <c r="L425" s="1">
        <v>0.0</v>
      </c>
      <c r="M425" s="1" t="s">
        <v>33</v>
      </c>
      <c r="N425" s="1">
        <v>240.0</v>
      </c>
    </row>
    <row r="426">
      <c r="A426" s="1" t="s">
        <v>917</v>
      </c>
      <c r="B426" s="1" t="s">
        <v>918</v>
      </c>
      <c r="C426" s="1" t="s">
        <v>20</v>
      </c>
      <c r="D426" s="1" t="str">
        <f>IFERROR(
  VLOOKUP(C426, category_map!A:B, 2, FALSE),
  C426
)
</f>
        <v>Ngũ cốc</v>
      </c>
      <c r="E426" s="1">
        <v>50.0</v>
      </c>
      <c r="F426" s="2">
        <v>46143.0</v>
      </c>
      <c r="G426" s="3">
        <v>7.0</v>
      </c>
      <c r="H426" s="3">
        <v>2.0</v>
      </c>
      <c r="I426" s="1" t="s">
        <v>36</v>
      </c>
      <c r="J426" s="3" t="s">
        <v>36</v>
      </c>
      <c r="K426" s="1">
        <v>140.0</v>
      </c>
      <c r="L426" s="1">
        <v>0.0</v>
      </c>
      <c r="M426" s="1" t="s">
        <v>33</v>
      </c>
      <c r="N426" s="1">
        <v>0.0</v>
      </c>
    </row>
    <row r="427">
      <c r="A427" s="1" t="s">
        <v>919</v>
      </c>
      <c r="B427" s="1" t="s">
        <v>920</v>
      </c>
      <c r="C427" s="1" t="s">
        <v>153</v>
      </c>
      <c r="D427" s="1" t="str">
        <f>IFERROR(
  VLOOKUP(C427, category_map!A:B, 2, FALSE),
  C427
)
</f>
        <v>Gia vị</v>
      </c>
      <c r="E427" s="1">
        <v>40.0</v>
      </c>
      <c r="F427" s="2">
        <v>0.0</v>
      </c>
      <c r="G427" s="3">
        <v>0.0</v>
      </c>
      <c r="H427" s="3">
        <v>46146.0</v>
      </c>
      <c r="I427" s="1">
        <v>0.0</v>
      </c>
      <c r="J427" s="3">
        <v>0.0</v>
      </c>
      <c r="K427" s="1">
        <v>0.0</v>
      </c>
      <c r="L427" s="1">
        <v>0.0</v>
      </c>
      <c r="M427" s="1" t="s">
        <v>33</v>
      </c>
      <c r="N427" s="1">
        <v>0.0</v>
      </c>
    </row>
    <row r="428">
      <c r="A428" s="1" t="s">
        <v>921</v>
      </c>
      <c r="B428" s="1" t="s">
        <v>922</v>
      </c>
      <c r="C428" s="1" t="s">
        <v>144</v>
      </c>
      <c r="D428" s="1" t="str">
        <f>IFERROR(
  VLOOKUP(C428, category_map!A:B, 2, FALSE),
  C428
)
</f>
        <v>Tráng miệng</v>
      </c>
      <c r="E428" s="1">
        <v>240.0</v>
      </c>
      <c r="F428" s="2">
        <v>3.0</v>
      </c>
      <c r="G428" s="3">
        <v>30.0</v>
      </c>
      <c r="H428" s="3">
        <v>12.0</v>
      </c>
      <c r="I428" s="4">
        <v>46143.0</v>
      </c>
      <c r="J428" s="3">
        <v>10.0</v>
      </c>
      <c r="K428" s="1">
        <v>200.0</v>
      </c>
      <c r="L428" s="1">
        <v>20.0</v>
      </c>
      <c r="M428" s="1" t="s">
        <v>37</v>
      </c>
      <c r="N428" s="1">
        <v>0.0</v>
      </c>
    </row>
    <row r="429">
      <c r="A429" s="1" t="s">
        <v>923</v>
      </c>
      <c r="B429" s="1" t="s">
        <v>924</v>
      </c>
      <c r="C429" s="1" t="s">
        <v>153</v>
      </c>
      <c r="D429" s="1" t="str">
        <f>IFERROR(
  VLOOKUP(C429, category_map!A:B, 2, FALSE),
  C429
)
</f>
        <v>Gia vị</v>
      </c>
      <c r="E429" s="1">
        <v>50.0</v>
      </c>
      <c r="F429" s="2" t="s">
        <v>36</v>
      </c>
      <c r="G429" s="3">
        <v>10.0</v>
      </c>
      <c r="H429" s="3">
        <v>46143.0</v>
      </c>
      <c r="I429" s="1">
        <v>1.0</v>
      </c>
      <c r="J429" s="3">
        <v>8.0</v>
      </c>
      <c r="K429" s="1">
        <v>5.0</v>
      </c>
      <c r="L429" s="1">
        <v>0.0</v>
      </c>
      <c r="M429" s="1" t="s">
        <v>37</v>
      </c>
      <c r="N429" s="1">
        <v>0.0</v>
      </c>
    </row>
    <row r="430">
      <c r="A430" s="1" t="s">
        <v>925</v>
      </c>
      <c r="B430" s="1" t="s">
        <v>926</v>
      </c>
      <c r="C430" s="1" t="s">
        <v>153</v>
      </c>
      <c r="D430" s="1" t="str">
        <f>IFERROR(
  VLOOKUP(C430, category_map!A:B, 2, FALSE),
  C430
)
</f>
        <v>Gia vị</v>
      </c>
      <c r="E430" s="1">
        <v>20.0</v>
      </c>
      <c r="F430" s="2">
        <v>0.0</v>
      </c>
      <c r="G430" s="3">
        <v>5.0</v>
      </c>
      <c r="H430" s="3">
        <v>0.0</v>
      </c>
      <c r="I430" s="1">
        <v>0.0</v>
      </c>
      <c r="J430" s="3">
        <v>5.0</v>
      </c>
      <c r="K430" s="1">
        <v>0.0</v>
      </c>
      <c r="L430" s="1">
        <v>0.0</v>
      </c>
      <c r="M430" s="1" t="s">
        <v>37</v>
      </c>
      <c r="N430" s="1">
        <v>0.0</v>
      </c>
    </row>
    <row r="431">
      <c r="A431" s="1" t="s">
        <v>927</v>
      </c>
      <c r="B431" s="1" t="s">
        <v>928</v>
      </c>
      <c r="C431" s="1" t="s">
        <v>23</v>
      </c>
      <c r="D431" s="1" t="str">
        <f>IFERROR(
  VLOOKUP(C431, category_map!A:B, 2, FALSE),
  C431
)
</f>
        <v>Đồ uống</v>
      </c>
      <c r="E431" s="1">
        <v>140.0</v>
      </c>
      <c r="F431" s="2">
        <v>2.0</v>
      </c>
      <c r="G431" s="3">
        <v>25.0</v>
      </c>
      <c r="H431" s="3">
        <v>3.0</v>
      </c>
      <c r="I431" s="1">
        <v>1.0</v>
      </c>
      <c r="J431" s="3">
        <v>22.0</v>
      </c>
      <c r="K431" s="1">
        <v>30.0</v>
      </c>
      <c r="L431" s="1">
        <v>5.0</v>
      </c>
      <c r="M431" s="1" t="s">
        <v>37</v>
      </c>
      <c r="N431" s="1">
        <v>240.0</v>
      </c>
    </row>
    <row r="432">
      <c r="A432" s="1" t="s">
        <v>929</v>
      </c>
      <c r="B432" s="1" t="s">
        <v>930</v>
      </c>
      <c r="C432" s="1" t="s">
        <v>94</v>
      </c>
      <c r="D432" s="1" t="str">
        <f>IFERROR(
  VLOOKUP(C432, category_map!A:B, 2, FALSE),
  C432
)
</f>
        <v>Bữa ăn/Cá</v>
      </c>
      <c r="E432" s="1">
        <v>180.0</v>
      </c>
      <c r="F432" s="2">
        <v>25.0</v>
      </c>
      <c r="G432" s="3">
        <v>15.0</v>
      </c>
      <c r="H432" s="3">
        <v>2.0</v>
      </c>
      <c r="I432" s="1">
        <v>3.0</v>
      </c>
      <c r="J432" s="3">
        <v>4.0</v>
      </c>
      <c r="K432" s="1">
        <v>700.0</v>
      </c>
      <c r="L432" s="1">
        <v>45.0</v>
      </c>
      <c r="M432" s="1" t="s">
        <v>33</v>
      </c>
      <c r="N432" s="1">
        <v>0.0</v>
      </c>
    </row>
    <row r="433">
      <c r="A433" s="1" t="s">
        <v>931</v>
      </c>
      <c r="B433" s="1" t="s">
        <v>932</v>
      </c>
      <c r="C433" s="1" t="s">
        <v>46</v>
      </c>
      <c r="D433" s="1" t="str">
        <f>IFERROR(
  VLOOKUP(C433, category_map!A:B, 2, FALSE),
  C433
)
</f>
        <v>Rau củ</v>
      </c>
      <c r="E433" s="1">
        <v>16.0</v>
      </c>
      <c r="F433" s="2" t="s">
        <v>24</v>
      </c>
      <c r="G433" s="3">
        <v>46206.0</v>
      </c>
      <c r="H433" s="3">
        <v>0.0</v>
      </c>
      <c r="I433" s="1" t="s">
        <v>29</v>
      </c>
      <c r="J433" s="3">
        <v>46235.0</v>
      </c>
      <c r="K433" s="1">
        <v>1.0</v>
      </c>
      <c r="L433" s="1">
        <v>0.0</v>
      </c>
      <c r="M433" s="1" t="s">
        <v>33</v>
      </c>
      <c r="N433" s="1">
        <v>0.0</v>
      </c>
    </row>
    <row r="434">
      <c r="A434" s="1" t="s">
        <v>933</v>
      </c>
      <c r="B434" s="1" t="s">
        <v>934</v>
      </c>
      <c r="C434" s="1" t="s">
        <v>153</v>
      </c>
      <c r="D434" s="1" t="str">
        <f>IFERROR(
  VLOOKUP(C434, category_map!A:B, 2, FALSE),
  C434
)
</f>
        <v>Gia vị</v>
      </c>
      <c r="E434" s="1">
        <v>1.0</v>
      </c>
      <c r="F434" s="2" t="s">
        <v>25</v>
      </c>
      <c r="G434" s="3">
        <v>0.0</v>
      </c>
      <c r="H434" s="3">
        <v>0.0</v>
      </c>
      <c r="I434" s="1" t="s">
        <v>25</v>
      </c>
      <c r="J434" s="3">
        <v>0.0</v>
      </c>
      <c r="K434" s="1">
        <v>0.0</v>
      </c>
      <c r="L434" s="1">
        <v>0.0</v>
      </c>
      <c r="M434" s="1" t="s">
        <v>33</v>
      </c>
      <c r="N434" s="1">
        <v>0.0</v>
      </c>
    </row>
    <row r="435">
      <c r="A435" s="1" t="s">
        <v>935</v>
      </c>
      <c r="B435" s="1" t="s">
        <v>936</v>
      </c>
      <c r="C435" s="1" t="s">
        <v>258</v>
      </c>
      <c r="D435" s="1" t="str">
        <f>IFERROR(
  VLOOKUP(C435, category_map!A:B, 2, FALSE),
  C435
)
</f>
        <v>Đồ ăn nhẹ/Chế biến</v>
      </c>
      <c r="E435" s="1">
        <v>130.0</v>
      </c>
      <c r="F435" s="2">
        <v>2.0</v>
      </c>
      <c r="G435" s="3">
        <v>23.0</v>
      </c>
      <c r="H435" s="3">
        <v>4.0</v>
      </c>
      <c r="I435" s="1">
        <v>2.0</v>
      </c>
      <c r="J435" s="3">
        <v>0.0</v>
      </c>
      <c r="K435" s="1">
        <v>180.0</v>
      </c>
      <c r="L435" s="1">
        <v>0.0</v>
      </c>
      <c r="M435" s="1" t="s">
        <v>37</v>
      </c>
      <c r="N435" s="1">
        <v>0.0</v>
      </c>
    </row>
    <row r="436">
      <c r="A436" s="1" t="s">
        <v>937</v>
      </c>
      <c r="B436" s="1" t="s">
        <v>938</v>
      </c>
      <c r="C436" s="1" t="s">
        <v>216</v>
      </c>
      <c r="D436" s="1" t="str">
        <f>IFERROR(
  VLOOKUP(C436, category_map!A:B, 2, FALSE),
  C436
)
</f>
        <v>Bữa ăn/Thịt</v>
      </c>
      <c r="E436" s="1">
        <v>500.0</v>
      </c>
      <c r="F436" s="2">
        <v>35.0</v>
      </c>
      <c r="G436" s="3">
        <v>45.0</v>
      </c>
      <c r="H436" s="3">
        <v>22.0</v>
      </c>
      <c r="I436" s="1">
        <v>5.0</v>
      </c>
      <c r="J436" s="3">
        <v>6.0</v>
      </c>
      <c r="K436" s="1">
        <v>1100.0</v>
      </c>
      <c r="L436" s="1">
        <v>90.0</v>
      </c>
      <c r="M436" s="1" t="s">
        <v>41</v>
      </c>
      <c r="N436" s="1">
        <v>0.0</v>
      </c>
    </row>
    <row r="437">
      <c r="A437" s="1" t="s">
        <v>939</v>
      </c>
      <c r="B437" s="1" t="s">
        <v>940</v>
      </c>
      <c r="C437" s="1" t="s">
        <v>122</v>
      </c>
      <c r="D437" s="1" t="str">
        <f>IFERROR(
  VLOOKUP(C437, category_map!A:B, 2, FALSE),
  C437
)
</f>
        <v>Rau củ/Chế biến</v>
      </c>
      <c r="E437" s="1">
        <v>200.0</v>
      </c>
      <c r="F437" s="2">
        <v>2.0</v>
      </c>
      <c r="G437" s="3">
        <v>25.0</v>
      </c>
      <c r="H437" s="3">
        <v>10.0</v>
      </c>
      <c r="I437" s="1">
        <v>2.0</v>
      </c>
      <c r="J437" s="3" t="s">
        <v>55</v>
      </c>
      <c r="K437" s="1">
        <v>130.0</v>
      </c>
      <c r="L437" s="1">
        <v>0.0</v>
      </c>
      <c r="M437" s="1" t="s">
        <v>41</v>
      </c>
      <c r="N437" s="1">
        <v>0.0</v>
      </c>
    </row>
    <row r="438">
      <c r="A438" s="1" t="s">
        <v>941</v>
      </c>
      <c r="B438" s="1" t="s">
        <v>942</v>
      </c>
      <c r="C438" s="1" t="s">
        <v>153</v>
      </c>
      <c r="D438" s="1" t="str">
        <f>IFERROR(
  VLOOKUP(C438, category_map!A:B, 2, FALSE),
  C438
)
</f>
        <v>Gia vị</v>
      </c>
      <c r="E438" s="1">
        <v>9.0</v>
      </c>
      <c r="F438" s="2">
        <v>1.0</v>
      </c>
      <c r="G438" s="3">
        <v>1.0</v>
      </c>
      <c r="H438" s="3">
        <v>0.0</v>
      </c>
      <c r="I438" s="1" t="s">
        <v>25</v>
      </c>
      <c r="J438" s="3" t="s">
        <v>29</v>
      </c>
      <c r="K438" s="1">
        <v>920.0</v>
      </c>
      <c r="L438" s="1">
        <v>0.0</v>
      </c>
      <c r="M438" s="1" t="s">
        <v>41</v>
      </c>
      <c r="N438" s="1">
        <v>0.0</v>
      </c>
    </row>
    <row r="439">
      <c r="A439" s="1" t="s">
        <v>943</v>
      </c>
      <c r="B439" s="1" t="s">
        <v>944</v>
      </c>
      <c r="C439" s="1" t="s">
        <v>153</v>
      </c>
      <c r="D439" s="1" t="str">
        <f>IFERROR(
  VLOOKUP(C439, category_map!A:B, 2, FALSE),
  C439
)
</f>
        <v>Gia vị</v>
      </c>
      <c r="E439" s="1">
        <v>5.0</v>
      </c>
      <c r="F439" s="2" t="s">
        <v>25</v>
      </c>
      <c r="G439" s="3">
        <v>1.0</v>
      </c>
      <c r="H439" s="3">
        <v>0.0</v>
      </c>
      <c r="I439" s="1" t="s">
        <v>36</v>
      </c>
      <c r="J439" s="3" t="s">
        <v>36</v>
      </c>
      <c r="K439" s="1">
        <v>50.0</v>
      </c>
      <c r="L439" s="1">
        <v>0.0</v>
      </c>
      <c r="M439" s="1" t="s">
        <v>41</v>
      </c>
      <c r="N439" s="1">
        <v>0.0</v>
      </c>
    </row>
    <row r="440">
      <c r="A440" s="1" t="s">
        <v>945</v>
      </c>
      <c r="B440" s="1" t="s">
        <v>946</v>
      </c>
      <c r="C440" s="1" t="s">
        <v>23</v>
      </c>
      <c r="D440" s="1" t="str">
        <f>IFERROR(
  VLOOKUP(C440, category_map!A:B, 2, FALSE),
  C440
)
</f>
        <v>Đồ uống</v>
      </c>
      <c r="E440" s="1">
        <v>250.0</v>
      </c>
      <c r="F440" s="2">
        <v>1.0</v>
      </c>
      <c r="G440" s="3">
        <v>25.0</v>
      </c>
      <c r="H440" s="3">
        <v>0.0</v>
      </c>
      <c r="I440" s="1">
        <v>0.0</v>
      </c>
      <c r="J440" s="3">
        <v>24.0</v>
      </c>
      <c r="K440" s="1">
        <v>5.0</v>
      </c>
      <c r="L440" s="1">
        <v>5.0</v>
      </c>
      <c r="M440" s="1" t="s">
        <v>37</v>
      </c>
      <c r="N440" s="1">
        <v>180.0</v>
      </c>
    </row>
    <row r="441">
      <c r="A441" s="1" t="s">
        <v>947</v>
      </c>
      <c r="B441" s="1" t="s">
        <v>948</v>
      </c>
      <c r="C441" s="1" t="s">
        <v>153</v>
      </c>
      <c r="D441" s="1" t="str">
        <f>IFERROR(
  VLOOKUP(C441, category_map!A:B, 2, FALSE),
  C441
)
</f>
        <v>Gia vị</v>
      </c>
      <c r="E441" s="1">
        <v>17.0</v>
      </c>
      <c r="F441" s="2">
        <v>46176.0</v>
      </c>
      <c r="G441" s="3" t="s">
        <v>55</v>
      </c>
      <c r="H441" s="3">
        <v>0.0</v>
      </c>
      <c r="I441" s="1">
        <v>0.0</v>
      </c>
      <c r="J441" s="3" t="s">
        <v>55</v>
      </c>
      <c r="K441" s="1">
        <v>55.0</v>
      </c>
      <c r="L441" s="1">
        <v>0.0</v>
      </c>
      <c r="M441" s="1" t="s">
        <v>37</v>
      </c>
      <c r="N441" s="1">
        <v>0.0</v>
      </c>
    </row>
    <row r="442">
      <c r="A442" s="1" t="s">
        <v>949</v>
      </c>
      <c r="B442" s="1" t="s">
        <v>950</v>
      </c>
      <c r="C442" s="1" t="s">
        <v>153</v>
      </c>
      <c r="D442" s="1" t="str">
        <f>IFERROR(
  VLOOKUP(C442, category_map!A:B, 2, FALSE),
  C442
)
</f>
        <v>Gia vị</v>
      </c>
      <c r="E442" s="1">
        <v>5.0</v>
      </c>
      <c r="F442" s="2">
        <v>0.0</v>
      </c>
      <c r="G442" s="3">
        <v>0.0</v>
      </c>
      <c r="H442" s="3">
        <v>0.0</v>
      </c>
      <c r="I442" s="1">
        <v>0.0</v>
      </c>
      <c r="J442" s="3">
        <v>0.0</v>
      </c>
      <c r="K442" s="1">
        <v>0.0</v>
      </c>
      <c r="L442" s="1">
        <v>0.0</v>
      </c>
      <c r="M442" s="1" t="s">
        <v>37</v>
      </c>
      <c r="N442" s="1">
        <v>0.0</v>
      </c>
    </row>
    <row r="443">
      <c r="A443" s="1" t="s">
        <v>951</v>
      </c>
      <c r="B443" s="1" t="s">
        <v>952</v>
      </c>
      <c r="C443" s="1" t="s">
        <v>144</v>
      </c>
      <c r="D443" s="1" t="str">
        <f>IFERROR(
  VLOOKUP(C443, category_map!A:B, 2, FALSE),
  C443
)
</f>
        <v>Tráng miệng</v>
      </c>
      <c r="E443" s="1">
        <v>180.0</v>
      </c>
      <c r="F443" s="2">
        <v>2.0</v>
      </c>
      <c r="G443" s="3">
        <v>22.0</v>
      </c>
      <c r="H443" s="3">
        <v>10.0</v>
      </c>
      <c r="I443" s="1">
        <v>1.0</v>
      </c>
      <c r="J443" s="3">
        <v>15.0</v>
      </c>
      <c r="K443" s="1">
        <v>60.0</v>
      </c>
      <c r="L443" s="1">
        <v>20.0</v>
      </c>
      <c r="M443" s="1" t="s">
        <v>37</v>
      </c>
      <c r="N443" s="1">
        <v>0.0</v>
      </c>
    </row>
    <row r="444">
      <c r="A444" s="1" t="s">
        <v>953</v>
      </c>
      <c r="B444" s="1" t="s">
        <v>954</v>
      </c>
      <c r="C444" s="1" t="s">
        <v>153</v>
      </c>
      <c r="D444" s="1" t="str">
        <f>IFERROR(
  VLOOKUP(C444, category_map!A:B, 2, FALSE),
  C444
)
</f>
        <v>Gia vị</v>
      </c>
      <c r="E444" s="1">
        <v>65.0</v>
      </c>
      <c r="F444" s="2">
        <v>1.0</v>
      </c>
      <c r="G444" s="3">
        <v>12.0</v>
      </c>
      <c r="H444" s="3">
        <v>46143.0</v>
      </c>
      <c r="I444" s="1">
        <v>0.0</v>
      </c>
      <c r="J444" s="3">
        <v>10.0</v>
      </c>
      <c r="K444" s="1">
        <v>30.0</v>
      </c>
      <c r="L444" s="1">
        <v>5.0</v>
      </c>
      <c r="M444" s="1" t="s">
        <v>37</v>
      </c>
      <c r="N444" s="1">
        <v>0.0</v>
      </c>
    </row>
    <row r="445">
      <c r="A445" s="1" t="s">
        <v>955</v>
      </c>
      <c r="B445" s="1" t="s">
        <v>956</v>
      </c>
      <c r="C445" s="1" t="s">
        <v>28</v>
      </c>
      <c r="D445" s="1" t="str">
        <f>IFERROR(
  VLOOKUP(C445, category_map!A:B, 2, FALSE),
  C445
)
</f>
        <v>Trái cây</v>
      </c>
      <c r="E445" s="1">
        <v>10.0</v>
      </c>
      <c r="F445" s="2" t="s">
        <v>25</v>
      </c>
      <c r="G445" s="3" t="s">
        <v>36</v>
      </c>
      <c r="H445" s="3">
        <v>1.0</v>
      </c>
      <c r="I445" s="1" t="s">
        <v>55</v>
      </c>
      <c r="J445" s="3" t="s">
        <v>25</v>
      </c>
      <c r="K445" s="1">
        <v>0.0</v>
      </c>
      <c r="L445" s="1">
        <v>0.0</v>
      </c>
      <c r="M445" s="1" t="s">
        <v>37</v>
      </c>
      <c r="N445" s="1">
        <v>0.0</v>
      </c>
    </row>
    <row r="446">
      <c r="A446" s="1" t="s">
        <v>957</v>
      </c>
      <c r="B446" s="1" t="s">
        <v>958</v>
      </c>
      <c r="C446" s="1" t="s">
        <v>23</v>
      </c>
      <c r="D446" s="1" t="str">
        <f>IFERROR(
  VLOOKUP(C446, category_map!A:B, 2, FALSE),
  C446
)
</f>
        <v>Đồ uống</v>
      </c>
      <c r="E446" s="1">
        <v>5.0</v>
      </c>
      <c r="F446" s="2" t="s">
        <v>55</v>
      </c>
      <c r="G446" s="3">
        <v>1.0</v>
      </c>
      <c r="H446" s="3">
        <v>0.0</v>
      </c>
      <c r="I446" s="1">
        <v>0.0</v>
      </c>
      <c r="J446" s="3">
        <v>0.0</v>
      </c>
      <c r="K446" s="1">
        <v>2.0</v>
      </c>
      <c r="L446" s="1">
        <v>0.0</v>
      </c>
      <c r="M446" s="1" t="s">
        <v>17</v>
      </c>
      <c r="N446" s="1">
        <v>240.0</v>
      </c>
    </row>
    <row r="447">
      <c r="A447" s="1" t="s">
        <v>959</v>
      </c>
      <c r="B447" s="1" t="s">
        <v>960</v>
      </c>
      <c r="C447" s="1" t="s">
        <v>20</v>
      </c>
      <c r="D447" s="1" t="str">
        <f>IFERROR(
  VLOOKUP(C447, category_map!A:B, 2, FALSE),
  C447
)
</f>
        <v>Ngũ cốc</v>
      </c>
      <c r="E447" s="1">
        <v>190.0</v>
      </c>
      <c r="F447" s="2">
        <v>4.0</v>
      </c>
      <c r="G447" s="3">
        <v>25.0</v>
      </c>
      <c r="H447" s="3">
        <v>8.0</v>
      </c>
      <c r="I447" s="1">
        <v>1.0</v>
      </c>
      <c r="J447" s="3">
        <v>9.0</v>
      </c>
      <c r="K447" s="1">
        <v>150.0</v>
      </c>
      <c r="L447" s="1">
        <v>25.0</v>
      </c>
      <c r="M447" s="1" t="s">
        <v>17</v>
      </c>
      <c r="N447" s="1">
        <v>0.0</v>
      </c>
    </row>
    <row r="448">
      <c r="A448" s="1" t="s">
        <v>961</v>
      </c>
      <c r="B448" s="1" t="s">
        <v>962</v>
      </c>
      <c r="C448" s="1" t="s">
        <v>153</v>
      </c>
      <c r="D448" s="1" t="str">
        <f>IFERROR(
  VLOOKUP(C448, category_map!A:B, 2, FALSE),
  C448
)
</f>
        <v>Gia vị</v>
      </c>
      <c r="E448" s="1">
        <v>45.0</v>
      </c>
      <c r="F448" s="2" t="s">
        <v>25</v>
      </c>
      <c r="G448" s="3" t="s">
        <v>36</v>
      </c>
      <c r="H448" s="3">
        <v>46146.0</v>
      </c>
      <c r="I448" s="1" t="s">
        <v>55</v>
      </c>
      <c r="J448" s="3" t="s">
        <v>25</v>
      </c>
      <c r="K448" s="1">
        <v>100.0</v>
      </c>
      <c r="L448" s="1">
        <v>0.0</v>
      </c>
      <c r="M448" s="1" t="s">
        <v>41</v>
      </c>
      <c r="N448" s="1">
        <v>0.0</v>
      </c>
    </row>
    <row r="449">
      <c r="A449" s="1" t="s">
        <v>963</v>
      </c>
      <c r="B449" s="1" t="s">
        <v>964</v>
      </c>
      <c r="C449" s="1" t="s">
        <v>99</v>
      </c>
      <c r="D449" s="1" t="str">
        <f>IFERROR(
  VLOOKUP(C449, category_map!A:B, 2, FALSE),
  C449
)
</f>
        <v>Chất đạm/Thịt</v>
      </c>
      <c r="E449" s="1">
        <v>240.0</v>
      </c>
      <c r="F449" s="2">
        <v>26.0</v>
      </c>
      <c r="G449" s="3">
        <v>0.0</v>
      </c>
      <c r="H449" s="3">
        <v>15.0</v>
      </c>
      <c r="I449" s="1">
        <v>0.0</v>
      </c>
      <c r="J449" s="3">
        <v>0.0</v>
      </c>
      <c r="K449" s="1">
        <v>70.0</v>
      </c>
      <c r="L449" s="1">
        <v>80.0</v>
      </c>
      <c r="M449" s="1" t="s">
        <v>41</v>
      </c>
      <c r="N449" s="1">
        <v>0.0</v>
      </c>
    </row>
    <row r="450">
      <c r="A450" s="1" t="s">
        <v>965</v>
      </c>
      <c r="B450" s="1" t="s">
        <v>966</v>
      </c>
      <c r="C450" s="1" t="s">
        <v>50</v>
      </c>
      <c r="D450" s="1" t="str">
        <f>IFERROR(
  VLOOKUP(C450, category_map!A:B, 2, FALSE),
  C450
)
</f>
        <v>Sản phẩm từ sữa</v>
      </c>
      <c r="E450" s="1">
        <v>100.0</v>
      </c>
      <c r="F450" s="2">
        <v>7.0</v>
      </c>
      <c r="G450" s="3">
        <v>1.0</v>
      </c>
      <c r="H450" s="3">
        <v>8.0</v>
      </c>
      <c r="I450" s="1">
        <v>0.0</v>
      </c>
      <c r="J450" s="3" t="s">
        <v>36</v>
      </c>
      <c r="K450" s="1">
        <v>250.0</v>
      </c>
      <c r="L450" s="1">
        <v>20.0</v>
      </c>
      <c r="M450" s="1" t="s">
        <v>41</v>
      </c>
      <c r="N450" s="1">
        <v>0.0</v>
      </c>
    </row>
    <row r="451">
      <c r="A451" s="1" t="s">
        <v>967</v>
      </c>
      <c r="B451" s="1" t="s">
        <v>968</v>
      </c>
      <c r="C451" s="1" t="s">
        <v>153</v>
      </c>
      <c r="D451" s="1" t="str">
        <f>IFERROR(
  VLOOKUP(C451, category_map!A:B, 2, FALSE),
  C451
)
</f>
        <v>Gia vị</v>
      </c>
      <c r="E451" s="1">
        <v>3.0</v>
      </c>
      <c r="F451" s="2" t="s">
        <v>25</v>
      </c>
      <c r="G451" s="3" t="s">
        <v>186</v>
      </c>
      <c r="H451" s="3">
        <v>0.0</v>
      </c>
      <c r="I451" s="1" t="s">
        <v>55</v>
      </c>
      <c r="J451" s="3">
        <v>0.0</v>
      </c>
      <c r="K451" s="1">
        <v>0.0</v>
      </c>
      <c r="L451" s="1">
        <v>0.0</v>
      </c>
      <c r="M451" s="1" t="s">
        <v>41</v>
      </c>
      <c r="N451" s="1">
        <v>0.0</v>
      </c>
    </row>
    <row r="452">
      <c r="A452" s="1" t="s">
        <v>969</v>
      </c>
      <c r="B452" s="1" t="s">
        <v>970</v>
      </c>
      <c r="C452" s="1" t="s">
        <v>61</v>
      </c>
      <c r="D452" s="1" t="str">
        <f>IFERROR(
  VLOOKUP(C452, category_map!A:B, 2, FALSE),
  C452
)
</f>
        <v>Bữa ăn/Chế biến</v>
      </c>
      <c r="E452" s="1">
        <v>290.0</v>
      </c>
      <c r="F452" s="2">
        <v>10.0</v>
      </c>
      <c r="G452" s="3">
        <v>28.0</v>
      </c>
      <c r="H452" s="3">
        <v>16.0</v>
      </c>
      <c r="I452" s="1">
        <v>3.0</v>
      </c>
      <c r="J452" s="3">
        <v>3.0</v>
      </c>
      <c r="K452" s="1">
        <v>550.0</v>
      </c>
      <c r="L452" s="1">
        <v>30.0</v>
      </c>
      <c r="M452" s="1" t="s">
        <v>33</v>
      </c>
      <c r="N452" s="1">
        <v>0.0</v>
      </c>
    </row>
    <row r="453">
      <c r="A453" s="1" t="s">
        <v>971</v>
      </c>
      <c r="B453" s="1" t="s">
        <v>972</v>
      </c>
      <c r="C453" s="1" t="s">
        <v>216</v>
      </c>
      <c r="D453" s="1" t="str">
        <f>IFERROR(
  VLOOKUP(C453, category_map!A:B, 2, FALSE),
  C453
)
</f>
        <v>Bữa ăn/Thịt</v>
      </c>
      <c r="E453" s="1">
        <v>450.0</v>
      </c>
      <c r="F453" s="2">
        <v>35.0</v>
      </c>
      <c r="G453" s="3">
        <v>30.0</v>
      </c>
      <c r="H453" s="3">
        <v>22.0</v>
      </c>
      <c r="I453" s="1">
        <v>3.0</v>
      </c>
      <c r="J453" s="3">
        <v>2.0</v>
      </c>
      <c r="K453" s="1">
        <v>700.0</v>
      </c>
      <c r="L453" s="1">
        <v>100.0</v>
      </c>
      <c r="M453" s="1" t="s">
        <v>41</v>
      </c>
      <c r="N453" s="1">
        <v>0.0</v>
      </c>
    </row>
    <row r="454">
      <c r="A454" s="1" t="s">
        <v>973</v>
      </c>
      <c r="B454" s="1" t="s">
        <v>974</v>
      </c>
      <c r="C454" s="1" t="s">
        <v>46</v>
      </c>
      <c r="D454" s="1" t="str">
        <f>IFERROR(
  VLOOKUP(C454, category_map!A:B, 2, FALSE),
  C454
)
</f>
        <v>Rau củ</v>
      </c>
      <c r="E454" s="1">
        <v>150.0</v>
      </c>
      <c r="F454" s="2">
        <v>3.0</v>
      </c>
      <c r="G454" s="3">
        <v>25.0</v>
      </c>
      <c r="H454" s="3">
        <v>4.0</v>
      </c>
      <c r="I454" s="1">
        <v>2.0</v>
      </c>
      <c r="J454" s="3">
        <v>2.0</v>
      </c>
      <c r="K454" s="1">
        <v>300.0</v>
      </c>
      <c r="L454" s="1">
        <v>10.0</v>
      </c>
      <c r="M454" s="1" t="s">
        <v>41</v>
      </c>
      <c r="N454" s="1">
        <v>0.0</v>
      </c>
    </row>
    <row r="455">
      <c r="A455" s="1" t="s">
        <v>975</v>
      </c>
      <c r="B455" s="1" t="s">
        <v>976</v>
      </c>
      <c r="C455" s="1" t="s">
        <v>61</v>
      </c>
      <c r="D455" s="1" t="str">
        <f>IFERROR(
  VLOOKUP(C455, category_map!A:B, 2, FALSE),
  C455
)
</f>
        <v>Bữa ăn/Chế biến</v>
      </c>
      <c r="E455" s="1">
        <v>550.0</v>
      </c>
      <c r="F455" s="2">
        <v>20.0</v>
      </c>
      <c r="G455" s="3">
        <v>40.0</v>
      </c>
      <c r="H455" s="3">
        <v>35.0</v>
      </c>
      <c r="I455" s="1">
        <v>3.0</v>
      </c>
      <c r="J455" s="3">
        <v>4.0</v>
      </c>
      <c r="K455" s="1">
        <v>1100.0</v>
      </c>
      <c r="L455" s="1">
        <v>80.0</v>
      </c>
      <c r="M455" s="1" t="s">
        <v>33</v>
      </c>
      <c r="N455" s="1">
        <v>250.0</v>
      </c>
    </row>
    <row r="456">
      <c r="A456" s="1" t="s">
        <v>977</v>
      </c>
      <c r="B456" s="1" t="s">
        <v>978</v>
      </c>
      <c r="C456" s="1" t="s">
        <v>20</v>
      </c>
      <c r="D456" s="1" t="str">
        <f>IFERROR(
  VLOOKUP(C456, category_map!A:B, 2, FALSE),
  C456
)
</f>
        <v>Ngũ cốc</v>
      </c>
      <c r="E456" s="1">
        <v>70.0</v>
      </c>
      <c r="F456" s="2">
        <v>46144.0</v>
      </c>
      <c r="G456" s="3">
        <v>14.0</v>
      </c>
      <c r="H456" s="3" t="s">
        <v>36</v>
      </c>
      <c r="I456" s="1" t="s">
        <v>47</v>
      </c>
      <c r="J456" s="3" t="s">
        <v>36</v>
      </c>
      <c r="K456" s="1">
        <v>150.0</v>
      </c>
      <c r="L456" s="1">
        <v>0.0</v>
      </c>
      <c r="M456" s="1" t="s">
        <v>33</v>
      </c>
      <c r="N456" s="1">
        <v>0.0</v>
      </c>
    </row>
    <row r="457">
      <c r="A457" s="1" t="s">
        <v>961</v>
      </c>
      <c r="B457" s="1" t="s">
        <v>979</v>
      </c>
      <c r="C457" s="1" t="s">
        <v>153</v>
      </c>
      <c r="D457" s="1" t="str">
        <f>IFERROR(
  VLOOKUP(C457, category_map!A:B, 2, FALSE),
  C457
)
</f>
        <v>Gia vị</v>
      </c>
      <c r="E457" s="1">
        <v>45.0</v>
      </c>
      <c r="F457" s="2" t="s">
        <v>25</v>
      </c>
      <c r="G457" s="3" t="s">
        <v>36</v>
      </c>
      <c r="H457" s="3">
        <v>46146.0</v>
      </c>
      <c r="I457" s="1" t="s">
        <v>55</v>
      </c>
      <c r="J457" s="3" t="s">
        <v>25</v>
      </c>
      <c r="K457" s="1">
        <v>100.0</v>
      </c>
      <c r="L457" s="1">
        <v>0.0</v>
      </c>
      <c r="M457" s="1" t="s">
        <v>33</v>
      </c>
      <c r="N457" s="1">
        <v>0.0</v>
      </c>
    </row>
    <row r="458">
      <c r="A458" s="1" t="s">
        <v>980</v>
      </c>
      <c r="B458" s="1" t="s">
        <v>981</v>
      </c>
      <c r="C458" s="1" t="s">
        <v>61</v>
      </c>
      <c r="D458" s="1" t="str">
        <f>IFERROR(
  VLOOKUP(C458, category_map!A:B, 2, FALSE),
  C458
)
</f>
        <v>Bữa ăn/Chế biến</v>
      </c>
      <c r="E458" s="1">
        <v>250.0</v>
      </c>
      <c r="F458" s="2">
        <v>12.0</v>
      </c>
      <c r="G458" s="3">
        <v>30.0</v>
      </c>
      <c r="H458" s="3">
        <v>10.0</v>
      </c>
      <c r="I458" s="1">
        <v>3.0</v>
      </c>
      <c r="J458" s="3">
        <v>4.0</v>
      </c>
      <c r="K458" s="1">
        <v>600.0</v>
      </c>
      <c r="L458" s="1">
        <v>25.0</v>
      </c>
      <c r="M458" s="1" t="s">
        <v>41</v>
      </c>
      <c r="N458" s="1">
        <v>250.0</v>
      </c>
    </row>
    <row r="459">
      <c r="A459" s="1" t="s">
        <v>982</v>
      </c>
      <c r="B459" s="1" t="s">
        <v>983</v>
      </c>
      <c r="C459" s="1" t="s">
        <v>50</v>
      </c>
      <c r="D459" s="1" t="str">
        <f>IFERROR(
  VLOOKUP(C459, category_map!A:B, 2, FALSE),
  C459
)
</f>
        <v>Sản phẩm từ sữa</v>
      </c>
      <c r="E459" s="1">
        <v>72.0</v>
      </c>
      <c r="F459" s="2">
        <v>5.0</v>
      </c>
      <c r="G459" s="3" t="s">
        <v>131</v>
      </c>
      <c r="H459" s="3">
        <v>5.0</v>
      </c>
      <c r="I459" s="1">
        <v>0.0</v>
      </c>
      <c r="J459" s="3" t="s">
        <v>24</v>
      </c>
      <c r="K459" s="1">
        <v>138.0</v>
      </c>
      <c r="L459" s="1">
        <v>22.0</v>
      </c>
      <c r="M459" s="1" t="s">
        <v>41</v>
      </c>
      <c r="N459" s="1">
        <v>0.0</v>
      </c>
    </row>
    <row r="460">
      <c r="A460" s="1" t="s">
        <v>984</v>
      </c>
      <c r="B460" s="1" t="s">
        <v>985</v>
      </c>
      <c r="C460" s="1" t="s">
        <v>153</v>
      </c>
      <c r="D460" s="1" t="str">
        <f>IFERROR(
  VLOOKUP(C460, category_map!A:B, 2, FALSE),
  C460
)
</f>
        <v>Gia vị</v>
      </c>
      <c r="E460" s="1">
        <v>1.0</v>
      </c>
      <c r="F460" s="2" t="s">
        <v>25</v>
      </c>
      <c r="G460" s="3" t="s">
        <v>25</v>
      </c>
      <c r="H460" s="3">
        <v>0.0</v>
      </c>
      <c r="I460" s="1" t="s">
        <v>25</v>
      </c>
      <c r="J460" s="3">
        <v>0.0</v>
      </c>
      <c r="K460" s="1">
        <v>0.0</v>
      </c>
      <c r="L460" s="1">
        <v>0.0</v>
      </c>
      <c r="M460" s="1" t="s">
        <v>41</v>
      </c>
      <c r="N460" s="1">
        <v>0.0</v>
      </c>
    </row>
    <row r="461">
      <c r="A461" s="1" t="s">
        <v>986</v>
      </c>
      <c r="B461" s="1" t="s">
        <v>987</v>
      </c>
      <c r="C461" s="1" t="s">
        <v>66</v>
      </c>
      <c r="D461" s="1" t="str">
        <f>IFERROR(
  VLOOKUP(C461, category_map!A:B, 2, FALSE),
  C461
)
</f>
        <v>Bữa ăn/Mì ống</v>
      </c>
      <c r="E461" s="1">
        <v>650.0</v>
      </c>
      <c r="F461" s="2">
        <v>25.0</v>
      </c>
      <c r="G461" s="3">
        <v>60.0</v>
      </c>
      <c r="H461" s="3">
        <v>35.0</v>
      </c>
      <c r="I461" s="1">
        <v>4.0</v>
      </c>
      <c r="J461" s="3">
        <v>4.0</v>
      </c>
      <c r="K461" s="1">
        <v>900.0</v>
      </c>
      <c r="L461" s="1">
        <v>250.0</v>
      </c>
      <c r="M461" s="1" t="s">
        <v>41</v>
      </c>
      <c r="N461" s="1">
        <v>0.0</v>
      </c>
    </row>
    <row r="462">
      <c r="A462" s="1" t="s">
        <v>988</v>
      </c>
      <c r="B462" s="1" t="s">
        <v>989</v>
      </c>
      <c r="C462" s="1" t="s">
        <v>99</v>
      </c>
      <c r="D462" s="1" t="str">
        <f>IFERROR(
  VLOOKUP(C462, category_map!A:B, 2, FALSE),
  C462
)
</f>
        <v>Chất đạm/Thịt</v>
      </c>
      <c r="E462" s="1">
        <v>170.0</v>
      </c>
      <c r="F462" s="2">
        <v>3.0</v>
      </c>
      <c r="G462" s="3">
        <v>0.0</v>
      </c>
      <c r="H462" s="3">
        <v>18.0</v>
      </c>
      <c r="I462" s="1">
        <v>0.0</v>
      </c>
      <c r="J462" s="3">
        <v>0.0</v>
      </c>
      <c r="K462" s="1">
        <v>450.0</v>
      </c>
      <c r="L462" s="1">
        <v>35.0</v>
      </c>
      <c r="M462" s="1" t="s">
        <v>41</v>
      </c>
      <c r="N462" s="1">
        <v>0.0</v>
      </c>
    </row>
    <row r="463">
      <c r="A463" s="1" t="s">
        <v>990</v>
      </c>
      <c r="B463" s="1" t="s">
        <v>991</v>
      </c>
      <c r="C463" s="1" t="s">
        <v>50</v>
      </c>
      <c r="D463" s="1" t="str">
        <f>IFERROR(
  VLOOKUP(C463, category_map!A:B, 2, FALSE),
  C463
)
</f>
        <v>Sản phẩm từ sữa</v>
      </c>
      <c r="E463" s="1">
        <v>25.0</v>
      </c>
      <c r="F463" s="2">
        <v>46143.0</v>
      </c>
      <c r="G463" s="3" t="s">
        <v>25</v>
      </c>
      <c r="H463" s="3">
        <v>2.0</v>
      </c>
      <c r="I463" s="1">
        <v>0.0</v>
      </c>
      <c r="J463" s="3">
        <v>0.0</v>
      </c>
      <c r="K463" s="1">
        <v>110.0</v>
      </c>
      <c r="L463" s="1">
        <v>6.0</v>
      </c>
      <c r="M463" s="1" t="s">
        <v>41</v>
      </c>
      <c r="N463" s="1">
        <v>0.0</v>
      </c>
    </row>
    <row r="464">
      <c r="A464" s="1" t="s">
        <v>992</v>
      </c>
      <c r="B464" s="1" t="s">
        <v>993</v>
      </c>
      <c r="C464" s="1" t="s">
        <v>153</v>
      </c>
      <c r="D464" s="1" t="str">
        <f>IFERROR(
  VLOOKUP(C464, category_map!A:B, 2, FALSE),
  C464
)
</f>
        <v>Gia vị</v>
      </c>
      <c r="E464" s="1">
        <v>1.0</v>
      </c>
      <c r="F464" s="2">
        <v>0.0</v>
      </c>
      <c r="G464" s="3" t="s">
        <v>55</v>
      </c>
      <c r="H464" s="3">
        <v>0.0</v>
      </c>
      <c r="I464" s="1" t="s">
        <v>25</v>
      </c>
      <c r="J464" s="3">
        <v>0.0</v>
      </c>
      <c r="K464" s="1">
        <v>0.0</v>
      </c>
      <c r="L464" s="1">
        <v>0.0</v>
      </c>
      <c r="M464" s="1" t="s">
        <v>41</v>
      </c>
      <c r="N464" s="1">
        <v>0.0</v>
      </c>
    </row>
    <row r="465">
      <c r="A465" s="1" t="s">
        <v>994</v>
      </c>
      <c r="B465" s="1" t="s">
        <v>995</v>
      </c>
      <c r="C465" s="1" t="s">
        <v>111</v>
      </c>
      <c r="D465" s="1" t="str">
        <f>IFERROR(
  VLOOKUP(C465, category_map!A:B, 2, FALSE),
  C465
)
</f>
        <v>Chất đạm</v>
      </c>
      <c r="E465" s="1">
        <v>55.0</v>
      </c>
      <c r="F465" s="2">
        <v>46205.0</v>
      </c>
      <c r="G465" s="3" t="s">
        <v>47</v>
      </c>
      <c r="H465" s="3">
        <v>46146.0</v>
      </c>
      <c r="I465" s="1">
        <v>0.0</v>
      </c>
      <c r="J465" s="3" t="s">
        <v>24</v>
      </c>
      <c r="K465" s="1">
        <v>8.0</v>
      </c>
      <c r="L465" s="1">
        <v>184.0</v>
      </c>
      <c r="M465" s="1" t="s">
        <v>41</v>
      </c>
      <c r="N465" s="1">
        <v>0.0</v>
      </c>
    </row>
    <row r="466">
      <c r="A466" s="1" t="s">
        <v>996</v>
      </c>
      <c r="B466" s="1" t="s">
        <v>997</v>
      </c>
      <c r="C466" s="1" t="s">
        <v>258</v>
      </c>
      <c r="D466" s="1" t="str">
        <f>IFERROR(
  VLOOKUP(C466, category_map!A:B, 2, FALSE),
  C466
)
</f>
        <v>Đồ ăn nhẹ/Chế biến</v>
      </c>
      <c r="E466" s="1">
        <v>200.0</v>
      </c>
      <c r="F466" s="2">
        <v>8.0</v>
      </c>
      <c r="G466" s="3">
        <v>25.0</v>
      </c>
      <c r="H466" s="3">
        <v>8.0</v>
      </c>
      <c r="I466" s="1">
        <v>2.0</v>
      </c>
      <c r="J466" s="3">
        <v>2.0</v>
      </c>
      <c r="K466" s="1">
        <v>400.0</v>
      </c>
      <c r="L466" s="1">
        <v>25.0</v>
      </c>
      <c r="M466" s="1" t="s">
        <v>37</v>
      </c>
      <c r="N466" s="1">
        <v>0.0</v>
      </c>
    </row>
    <row r="467">
      <c r="A467" s="1" t="s">
        <v>998</v>
      </c>
      <c r="B467" s="1" t="s">
        <v>999</v>
      </c>
      <c r="C467" s="1" t="s">
        <v>23</v>
      </c>
      <c r="D467" s="1" t="str">
        <f>IFERROR(
  VLOOKUP(C467, category_map!A:B, 2, FALSE),
  C467
)
</f>
        <v>Đồ uống</v>
      </c>
      <c r="E467" s="1">
        <v>180.0</v>
      </c>
      <c r="F467" s="2">
        <v>0.0</v>
      </c>
      <c r="G467" s="3">
        <v>20.0</v>
      </c>
      <c r="H467" s="3">
        <v>0.0</v>
      </c>
      <c r="I467" s="1">
        <v>0.0</v>
      </c>
      <c r="J467" s="3">
        <v>20.0</v>
      </c>
      <c r="K467" s="1">
        <v>10.0</v>
      </c>
      <c r="L467" s="1">
        <v>0.0</v>
      </c>
      <c r="M467" s="1" t="s">
        <v>37</v>
      </c>
      <c r="N467" s="1">
        <v>150.0</v>
      </c>
    </row>
    <row r="468">
      <c r="A468" s="1" t="s">
        <v>1000</v>
      </c>
      <c r="B468" s="1" t="s">
        <v>1001</v>
      </c>
      <c r="C468" s="1" t="s">
        <v>23</v>
      </c>
      <c r="D468" s="1" t="str">
        <f>IFERROR(
  VLOOKUP(C468, category_map!A:B, 2, FALSE),
  C468
)
</f>
        <v>Đồ uống</v>
      </c>
      <c r="E468" s="1">
        <v>70.0</v>
      </c>
      <c r="F468" s="2">
        <v>0.0</v>
      </c>
      <c r="G468" s="3">
        <v>2.0</v>
      </c>
      <c r="H468" s="3">
        <v>0.0</v>
      </c>
      <c r="I468" s="1">
        <v>0.0</v>
      </c>
      <c r="J468" s="3">
        <v>46143.0</v>
      </c>
      <c r="K468" s="1">
        <v>5.0</v>
      </c>
      <c r="L468" s="1">
        <v>0.0</v>
      </c>
      <c r="M468" s="1" t="s">
        <v>37</v>
      </c>
      <c r="N468" s="1">
        <v>0.0</v>
      </c>
    </row>
    <row r="469">
      <c r="A469" s="1" t="s">
        <v>1002</v>
      </c>
      <c r="B469" s="1" t="s">
        <v>1003</v>
      </c>
      <c r="C469" s="1" t="s">
        <v>23</v>
      </c>
      <c r="D469" s="1" t="str">
        <f>IFERROR(
  VLOOKUP(C469, category_map!A:B, 2, FALSE),
  C469
)
</f>
        <v>Đồ uống</v>
      </c>
      <c r="E469" s="1">
        <v>0.0</v>
      </c>
      <c r="F469" s="2">
        <v>0.0</v>
      </c>
      <c r="G469" s="3">
        <v>0.0</v>
      </c>
      <c r="H469" s="3">
        <v>0.0</v>
      </c>
      <c r="I469" s="1">
        <v>0.0</v>
      </c>
      <c r="J469" s="3">
        <v>0.0</v>
      </c>
      <c r="K469" s="1">
        <v>20.0</v>
      </c>
      <c r="L469" s="1">
        <v>0.0</v>
      </c>
      <c r="M469" s="1" t="s">
        <v>37</v>
      </c>
      <c r="N469" s="1">
        <v>0.0</v>
      </c>
    </row>
    <row r="470">
      <c r="A470" s="1" t="s">
        <v>1004</v>
      </c>
      <c r="B470" s="1" t="s">
        <v>1005</v>
      </c>
      <c r="C470" s="1" t="s">
        <v>28</v>
      </c>
      <c r="D470" s="1" t="str">
        <f>IFERROR(
  VLOOKUP(C470, category_map!A:B, 2, FALSE),
  C470
)
</f>
        <v>Trái cây</v>
      </c>
      <c r="E470" s="1">
        <v>5.0</v>
      </c>
      <c r="F470" s="2" t="s">
        <v>25</v>
      </c>
      <c r="G470" s="3">
        <v>1.0</v>
      </c>
      <c r="H470" s="3">
        <v>0.0</v>
      </c>
      <c r="I470" s="1" t="s">
        <v>55</v>
      </c>
      <c r="J470" s="3" t="s">
        <v>131</v>
      </c>
      <c r="K470" s="1">
        <v>0.0</v>
      </c>
      <c r="L470" s="1">
        <v>0.0</v>
      </c>
      <c r="M470" s="1" t="s">
        <v>37</v>
      </c>
      <c r="N470" s="1">
        <v>0.0</v>
      </c>
    </row>
    <row r="471">
      <c r="A471" s="1" t="s">
        <v>1006</v>
      </c>
      <c r="B471" s="1" t="s">
        <v>1007</v>
      </c>
      <c r="C471" s="1" t="s">
        <v>66</v>
      </c>
      <c r="D471" s="1" t="str">
        <f>IFERROR(
  VLOOKUP(C471, category_map!A:B, 2, FALSE),
  C471
)
</f>
        <v>Bữa ăn/Mì ống</v>
      </c>
      <c r="E471" s="1">
        <v>550.0</v>
      </c>
      <c r="F471" s="2">
        <v>28.0</v>
      </c>
      <c r="G471" s="3">
        <v>65.0</v>
      </c>
      <c r="H471" s="3">
        <v>20.0</v>
      </c>
      <c r="I471" s="1">
        <v>7.0</v>
      </c>
      <c r="J471" s="3">
        <v>8.0</v>
      </c>
      <c r="K471" s="1">
        <v>850.0</v>
      </c>
      <c r="L471" s="1">
        <v>70.0</v>
      </c>
      <c r="M471" s="1" t="s">
        <v>41</v>
      </c>
      <c r="N471" s="1">
        <v>500.0</v>
      </c>
    </row>
    <row r="472">
      <c r="A472" s="1" t="s">
        <v>1008</v>
      </c>
      <c r="B472" s="1" t="s">
        <v>1009</v>
      </c>
      <c r="C472" s="1" t="s">
        <v>99</v>
      </c>
      <c r="D472" s="1" t="str">
        <f>IFERROR(
  VLOOKUP(C472, category_map!A:B, 2, FALSE),
  C472
)
</f>
        <v>Chất đạm/Thịt</v>
      </c>
      <c r="E472" s="1">
        <v>140.0</v>
      </c>
      <c r="F472" s="2">
        <v>11.0</v>
      </c>
      <c r="G472" s="3">
        <v>0.0</v>
      </c>
      <c r="H472" s="3">
        <v>10.0</v>
      </c>
      <c r="I472" s="1">
        <v>0.0</v>
      </c>
      <c r="J472" s="3">
        <v>0.0</v>
      </c>
      <c r="K472" s="1">
        <v>40.0</v>
      </c>
      <c r="L472" s="1">
        <v>35.0</v>
      </c>
      <c r="M472" s="1" t="s">
        <v>41</v>
      </c>
      <c r="N472" s="1">
        <v>0.0</v>
      </c>
    </row>
    <row r="473">
      <c r="A473" s="1" t="s">
        <v>1010</v>
      </c>
      <c r="B473" s="1" t="s">
        <v>1011</v>
      </c>
      <c r="C473" s="1" t="s">
        <v>99</v>
      </c>
      <c r="D473" s="1" t="str">
        <f>IFERROR(
  VLOOKUP(C473, category_map!A:B, 2, FALSE),
  C473
)
</f>
        <v>Chất đạm/Thịt</v>
      </c>
      <c r="E473" s="1">
        <v>45.0</v>
      </c>
      <c r="F473" s="2">
        <v>46143.0</v>
      </c>
      <c r="G473" s="3">
        <v>0.0</v>
      </c>
      <c r="H473" s="3">
        <v>46146.0</v>
      </c>
      <c r="I473" s="1">
        <v>0.0</v>
      </c>
      <c r="J473" s="3">
        <v>0.0</v>
      </c>
      <c r="K473" s="1">
        <v>160.0</v>
      </c>
      <c r="L473" s="1">
        <v>10.0</v>
      </c>
      <c r="M473" s="1" t="s">
        <v>41</v>
      </c>
      <c r="N473" s="1">
        <v>0.0</v>
      </c>
    </row>
    <row r="474">
      <c r="A474" s="1" t="s">
        <v>1012</v>
      </c>
      <c r="B474" s="1" t="s">
        <v>1013</v>
      </c>
      <c r="C474" s="1" t="s">
        <v>46</v>
      </c>
      <c r="D474" s="1" t="str">
        <f>IFERROR(
  VLOOKUP(C474, category_map!A:B, 2, FALSE),
  C474
)
</f>
        <v>Rau củ</v>
      </c>
      <c r="E474" s="1">
        <v>10.0</v>
      </c>
      <c r="F474" s="2" t="s">
        <v>55</v>
      </c>
      <c r="G474" s="3">
        <v>46114.0</v>
      </c>
      <c r="H474" s="3" t="s">
        <v>25</v>
      </c>
      <c r="I474" s="1" t="s">
        <v>186</v>
      </c>
      <c r="J474" s="3">
        <v>46054.0</v>
      </c>
      <c r="K474" s="1">
        <v>17.0</v>
      </c>
      <c r="L474" s="1">
        <v>0.0</v>
      </c>
      <c r="M474" s="1" t="s">
        <v>41</v>
      </c>
      <c r="N474" s="1">
        <v>0.0</v>
      </c>
    </row>
    <row r="475">
      <c r="A475" s="1" t="s">
        <v>1014</v>
      </c>
      <c r="B475" s="1" t="s">
        <v>1015</v>
      </c>
      <c r="C475" s="1" t="s">
        <v>46</v>
      </c>
      <c r="D475" s="1" t="str">
        <f>IFERROR(
  VLOOKUP(C475, category_map!A:B, 2, FALSE),
  C475
)
</f>
        <v>Rau củ</v>
      </c>
      <c r="E475" s="1">
        <v>2.0</v>
      </c>
      <c r="F475" s="2" t="s">
        <v>25</v>
      </c>
      <c r="G475" s="3" t="s">
        <v>29</v>
      </c>
      <c r="H475" s="3">
        <v>0.0</v>
      </c>
      <c r="I475" s="1" t="s">
        <v>55</v>
      </c>
      <c r="J475" s="3" t="s">
        <v>55</v>
      </c>
      <c r="K475" s="1">
        <v>12.0</v>
      </c>
      <c r="L475" s="1">
        <v>0.0</v>
      </c>
      <c r="M475" s="1" t="s">
        <v>41</v>
      </c>
      <c r="N475" s="1">
        <v>0.0</v>
      </c>
    </row>
    <row r="476">
      <c r="A476" s="1" t="s">
        <v>1016</v>
      </c>
      <c r="B476" s="1" t="s">
        <v>1017</v>
      </c>
      <c r="C476" s="1" t="s">
        <v>46</v>
      </c>
      <c r="D476" s="1" t="str">
        <f>IFERROR(
  VLOOKUP(C476, category_map!A:B, 2, FALSE),
  C476
)
</f>
        <v>Rau củ</v>
      </c>
      <c r="E476" s="1">
        <v>5.0</v>
      </c>
      <c r="F476" s="2" t="s">
        <v>25</v>
      </c>
      <c r="G476" s="3">
        <v>46054.0</v>
      </c>
      <c r="H476" s="3">
        <v>0.0</v>
      </c>
      <c r="I476" s="1" t="s">
        <v>55</v>
      </c>
      <c r="J476" s="3" t="s">
        <v>47</v>
      </c>
      <c r="K476" s="1">
        <v>1.0</v>
      </c>
      <c r="L476" s="1">
        <v>0.0</v>
      </c>
      <c r="M476" s="1" t="s">
        <v>41</v>
      </c>
      <c r="N476" s="1">
        <v>0.0</v>
      </c>
    </row>
    <row r="477">
      <c r="A477" s="1" t="s">
        <v>1018</v>
      </c>
      <c r="B477" s="1" t="s">
        <v>1019</v>
      </c>
      <c r="C477" s="1" t="s">
        <v>46</v>
      </c>
      <c r="D477" s="1" t="str">
        <f>IFERROR(
  VLOOKUP(C477, category_map!A:B, 2, FALSE),
  C477
)
</f>
        <v>Rau củ</v>
      </c>
      <c r="E477" s="1">
        <v>20.0</v>
      </c>
      <c r="F477" s="2">
        <v>1.0</v>
      </c>
      <c r="G477" s="3">
        <v>4.0</v>
      </c>
      <c r="H477" s="3">
        <v>0.0</v>
      </c>
      <c r="I477" s="4">
        <v>46143.0</v>
      </c>
      <c r="J477" s="3">
        <v>3.0</v>
      </c>
      <c r="K477" s="1">
        <v>200.0</v>
      </c>
      <c r="L477" s="1">
        <v>0.0</v>
      </c>
      <c r="M477" s="1" t="s">
        <v>41</v>
      </c>
      <c r="N477" s="1">
        <v>0.0</v>
      </c>
    </row>
    <row r="478">
      <c r="A478" s="1" t="s">
        <v>1020</v>
      </c>
      <c r="B478" s="1" t="s">
        <v>1021</v>
      </c>
      <c r="C478" s="1" t="s">
        <v>50</v>
      </c>
      <c r="D478" s="1" t="str">
        <f>IFERROR(
  VLOOKUP(C478, category_map!A:B, 2, FALSE),
  C478
)
</f>
        <v>Sản phẩm từ sữa</v>
      </c>
      <c r="E478" s="1">
        <v>22.0</v>
      </c>
      <c r="F478" s="2">
        <v>2.0</v>
      </c>
      <c r="G478" s="3" t="s">
        <v>55</v>
      </c>
      <c r="H478" s="3">
        <v>46143.0</v>
      </c>
      <c r="I478" s="1">
        <v>0.0</v>
      </c>
      <c r="J478" s="3">
        <v>0.0</v>
      </c>
      <c r="K478" s="1">
        <v>95.0</v>
      </c>
      <c r="L478" s="1">
        <v>4.0</v>
      </c>
      <c r="M478" s="1" t="s">
        <v>41</v>
      </c>
      <c r="N478" s="1">
        <v>0.0</v>
      </c>
    </row>
    <row r="479">
      <c r="A479" s="1" t="s">
        <v>1022</v>
      </c>
      <c r="B479" s="1" t="s">
        <v>1023</v>
      </c>
      <c r="C479" s="1" t="s">
        <v>144</v>
      </c>
      <c r="D479" s="1" t="str">
        <f>IFERROR(
  VLOOKUP(C479, category_map!A:B, 2, FALSE),
  C479
)
</f>
        <v>Tráng miệng</v>
      </c>
      <c r="E479" s="1">
        <v>240.0</v>
      </c>
      <c r="F479" s="2">
        <v>5.0</v>
      </c>
      <c r="G479" s="3">
        <v>25.0</v>
      </c>
      <c r="H479" s="3">
        <v>13.0</v>
      </c>
      <c r="I479" s="1">
        <v>1.0</v>
      </c>
      <c r="J479" s="3">
        <v>18.0</v>
      </c>
      <c r="K479" s="1">
        <v>100.0</v>
      </c>
      <c r="L479" s="1">
        <v>30.0</v>
      </c>
      <c r="M479" s="1" t="s">
        <v>37</v>
      </c>
      <c r="N479" s="1">
        <v>0.0</v>
      </c>
    </row>
    <row r="480">
      <c r="A480" s="1" t="s">
        <v>1024</v>
      </c>
      <c r="B480" s="1" t="s">
        <v>1025</v>
      </c>
      <c r="C480" s="1" t="s">
        <v>50</v>
      </c>
      <c r="D480" s="1" t="str">
        <f>IFERROR(
  VLOOKUP(C480, category_map!A:B, 2, FALSE),
  C480
)
</f>
        <v>Sản phẩm từ sữa</v>
      </c>
      <c r="E480" s="1">
        <v>49.0</v>
      </c>
      <c r="F480" s="2">
        <v>46056.0</v>
      </c>
      <c r="G480" s="3" t="s">
        <v>131</v>
      </c>
      <c r="H480" s="3">
        <v>46237.0</v>
      </c>
      <c r="I480" s="1">
        <v>0.0</v>
      </c>
      <c r="J480" s="3" t="s">
        <v>25</v>
      </c>
      <c r="K480" s="1">
        <v>23.0</v>
      </c>
      <c r="L480" s="1">
        <v>14.0</v>
      </c>
      <c r="M480" s="1" t="s">
        <v>37</v>
      </c>
      <c r="N480" s="1">
        <v>0.0</v>
      </c>
    </row>
    <row r="481">
      <c r="A481" s="1" t="s">
        <v>1026</v>
      </c>
      <c r="B481" s="1" t="s">
        <v>1027</v>
      </c>
      <c r="C481" s="1" t="s">
        <v>58</v>
      </c>
      <c r="D481" s="1" t="str">
        <f>IFERROR(
  VLOOKUP(C481, category_map!A:B, 2, FALSE),
  C481
)
</f>
        <v>Hạt</v>
      </c>
      <c r="E481" s="1">
        <v>10.0</v>
      </c>
      <c r="F481" s="2" t="s">
        <v>29</v>
      </c>
      <c r="G481" s="3" t="s">
        <v>36</v>
      </c>
      <c r="H481" s="3" t="s">
        <v>131</v>
      </c>
      <c r="I481" s="1" t="s">
        <v>55</v>
      </c>
      <c r="J481" s="3" t="s">
        <v>25</v>
      </c>
      <c r="K481" s="1">
        <v>0.0</v>
      </c>
      <c r="L481" s="1">
        <v>0.0</v>
      </c>
      <c r="M481" s="1" t="s">
        <v>37</v>
      </c>
      <c r="N481" s="1">
        <v>0.0</v>
      </c>
    </row>
    <row r="482">
      <c r="A482" s="1" t="s">
        <v>1028</v>
      </c>
      <c r="B482" s="1" t="s">
        <v>1029</v>
      </c>
      <c r="C482" s="1" t="s">
        <v>144</v>
      </c>
      <c r="D482" s="1" t="str">
        <f>IFERROR(
  VLOOKUP(C482, category_map!A:B, 2, FALSE),
  C482
)
</f>
        <v>Tráng miệng</v>
      </c>
      <c r="E482" s="1">
        <v>110.0</v>
      </c>
      <c r="F482" s="2">
        <v>2.0</v>
      </c>
      <c r="G482" s="3">
        <v>18.0</v>
      </c>
      <c r="H482" s="3">
        <v>4.0</v>
      </c>
      <c r="I482" s="1">
        <v>1.0</v>
      </c>
      <c r="J482" s="3">
        <v>9.0</v>
      </c>
      <c r="K482" s="1">
        <v>50.0</v>
      </c>
      <c r="L482" s="1">
        <v>15.0</v>
      </c>
      <c r="M482" s="1" t="s">
        <v>37</v>
      </c>
      <c r="N482" s="1">
        <v>0.0</v>
      </c>
    </row>
    <row r="483">
      <c r="A483" s="1" t="s">
        <v>1030</v>
      </c>
      <c r="B483" s="1" t="s">
        <v>1031</v>
      </c>
      <c r="C483" s="1" t="s">
        <v>23</v>
      </c>
      <c r="D483" s="1" t="str">
        <f>IFERROR(
  VLOOKUP(C483, category_map!A:B, 2, FALSE),
  C483
)
</f>
        <v>Đồ uống</v>
      </c>
      <c r="E483" s="1">
        <v>2.0</v>
      </c>
      <c r="F483" s="2" t="s">
        <v>55</v>
      </c>
      <c r="G483" s="3">
        <v>0.0</v>
      </c>
      <c r="H483" s="3">
        <v>0.0</v>
      </c>
      <c r="I483" s="1">
        <v>0.0</v>
      </c>
      <c r="J483" s="3">
        <v>0.0</v>
      </c>
      <c r="K483" s="1">
        <v>1.0</v>
      </c>
      <c r="L483" s="1">
        <v>0.0</v>
      </c>
      <c r="M483" s="1" t="s">
        <v>37</v>
      </c>
      <c r="N483" s="1">
        <v>30.0</v>
      </c>
    </row>
    <row r="484">
      <c r="A484" s="1" t="s">
        <v>1032</v>
      </c>
      <c r="B484" s="1" t="s">
        <v>1033</v>
      </c>
      <c r="C484" s="1" t="s">
        <v>20</v>
      </c>
      <c r="D484" s="1" t="str">
        <f>IFERROR(
  VLOOKUP(C484, category_map!A:B, 2, FALSE),
  C484
)
</f>
        <v>Ngũ cốc</v>
      </c>
      <c r="E484" s="1">
        <v>250.0</v>
      </c>
      <c r="F484" s="2">
        <v>8.0</v>
      </c>
      <c r="G484" s="3">
        <v>40.0</v>
      </c>
      <c r="H484" s="3">
        <v>7.0</v>
      </c>
      <c r="I484" s="1">
        <v>2.0</v>
      </c>
      <c r="J484" s="3">
        <v>2.0</v>
      </c>
      <c r="K484" s="1">
        <v>500.0</v>
      </c>
      <c r="L484" s="1">
        <v>0.0</v>
      </c>
      <c r="M484" s="1" t="s">
        <v>33</v>
      </c>
      <c r="N484" s="1">
        <v>0.0</v>
      </c>
    </row>
    <row r="485">
      <c r="A485" s="1" t="s">
        <v>1034</v>
      </c>
      <c r="B485" s="1" t="s">
        <v>1035</v>
      </c>
      <c r="C485" s="1" t="s">
        <v>153</v>
      </c>
      <c r="D485" s="1" t="str">
        <f>IFERROR(
  VLOOKUP(C485, category_map!A:B, 2, FALSE),
  C485
)
</f>
        <v>Gia vị</v>
      </c>
      <c r="E485" s="1">
        <v>1.0</v>
      </c>
      <c r="F485" s="2">
        <v>0.0</v>
      </c>
      <c r="G485" s="3" t="s">
        <v>55</v>
      </c>
      <c r="H485" s="3">
        <v>0.0</v>
      </c>
      <c r="I485" s="1" t="s">
        <v>25</v>
      </c>
      <c r="J485" s="3">
        <v>0.0</v>
      </c>
      <c r="K485" s="1">
        <v>0.0</v>
      </c>
      <c r="L485" s="1">
        <v>0.0</v>
      </c>
      <c r="M485" s="1" t="s">
        <v>33</v>
      </c>
      <c r="N485" s="1">
        <v>0.0</v>
      </c>
    </row>
    <row r="486">
      <c r="A486" s="1" t="s">
        <v>1036</v>
      </c>
      <c r="B486" s="1" t="s">
        <v>1037</v>
      </c>
      <c r="C486" s="1" t="s">
        <v>153</v>
      </c>
      <c r="D486" s="1" t="str">
        <f>IFERROR(
  VLOOKUP(C486, category_map!A:B, 2, FALSE),
  C486
)
</f>
        <v>Gia vị</v>
      </c>
      <c r="E486" s="1">
        <v>0.0</v>
      </c>
      <c r="F486" s="2">
        <v>0.0</v>
      </c>
      <c r="G486" s="3">
        <v>0.0</v>
      </c>
      <c r="H486" s="3">
        <v>0.0</v>
      </c>
      <c r="I486" s="1">
        <v>0.0</v>
      </c>
      <c r="J486" s="3">
        <v>0.0</v>
      </c>
      <c r="K486" s="1">
        <v>200.0</v>
      </c>
      <c r="L486" s="1">
        <v>0.0</v>
      </c>
      <c r="M486" s="1" t="s">
        <v>33</v>
      </c>
      <c r="N486" s="1">
        <v>0.0</v>
      </c>
    </row>
    <row r="487">
      <c r="A487" s="1" t="s">
        <v>1038</v>
      </c>
      <c r="B487" s="1" t="s">
        <v>1039</v>
      </c>
      <c r="C487" s="1" t="s">
        <v>153</v>
      </c>
      <c r="D487" s="1" t="str">
        <f>IFERROR(
  VLOOKUP(C487, category_map!A:B, 2, FALSE),
  C487
)
</f>
        <v>Gia vị</v>
      </c>
      <c r="E487" s="1">
        <v>120.0</v>
      </c>
      <c r="F487" s="2">
        <v>0.0</v>
      </c>
      <c r="G487" s="3">
        <v>0.0</v>
      </c>
      <c r="H487" s="3">
        <v>14.0</v>
      </c>
      <c r="I487" s="1">
        <v>0.0</v>
      </c>
      <c r="J487" s="3">
        <v>0.0</v>
      </c>
      <c r="K487" s="1">
        <v>0.0</v>
      </c>
      <c r="L487" s="1">
        <v>0.0</v>
      </c>
      <c r="M487" s="1" t="s">
        <v>33</v>
      </c>
      <c r="N487" s="1">
        <v>0.0</v>
      </c>
    </row>
    <row r="488">
      <c r="A488" s="1" t="s">
        <v>1040</v>
      </c>
      <c r="B488" s="1" t="s">
        <v>1041</v>
      </c>
      <c r="C488" s="1" t="s">
        <v>1042</v>
      </c>
      <c r="D488" s="1" t="str">
        <f>IFERROR(
  VLOOKUP(C488, category_map!A:B, 2, FALSE),
  C488
)
</f>
        <v>Đồ ăn nhẹ/Khai vị</v>
      </c>
      <c r="E488" s="1">
        <v>180.0</v>
      </c>
      <c r="F488" s="2">
        <v>4.0</v>
      </c>
      <c r="G488" s="3">
        <v>25.0</v>
      </c>
      <c r="H488" s="3">
        <v>7.0</v>
      </c>
      <c r="I488" s="1">
        <v>3.0</v>
      </c>
      <c r="J488" s="3">
        <v>4.0</v>
      </c>
      <c r="K488" s="1">
        <v>350.0</v>
      </c>
      <c r="L488" s="1">
        <v>0.0</v>
      </c>
      <c r="M488" s="1" t="s">
        <v>37</v>
      </c>
      <c r="N488" s="1">
        <v>0.0</v>
      </c>
    </row>
    <row r="489">
      <c r="A489" s="1" t="s">
        <v>1043</v>
      </c>
      <c r="B489" s="1" t="s">
        <v>1044</v>
      </c>
      <c r="C489" s="1" t="s">
        <v>153</v>
      </c>
      <c r="D489" s="1" t="str">
        <f>IFERROR(
  VLOOKUP(C489, category_map!A:B, 2, FALSE),
  C489
)
</f>
        <v>Gia vị</v>
      </c>
      <c r="E489" s="1">
        <v>13.0</v>
      </c>
      <c r="F489" s="2">
        <v>0.0</v>
      </c>
      <c r="G489" s="3">
        <v>3.0</v>
      </c>
      <c r="H489" s="3">
        <v>0.0</v>
      </c>
      <c r="I489" s="1">
        <v>0.0</v>
      </c>
      <c r="J489" s="3">
        <v>46205.0</v>
      </c>
      <c r="K489" s="1">
        <v>3.0</v>
      </c>
      <c r="L489" s="1">
        <v>0.0</v>
      </c>
      <c r="M489" s="1" t="s">
        <v>37</v>
      </c>
      <c r="N489" s="1">
        <v>0.0</v>
      </c>
    </row>
    <row r="490">
      <c r="A490" s="1" t="s">
        <v>1045</v>
      </c>
      <c r="B490" s="1" t="s">
        <v>1046</v>
      </c>
      <c r="C490" s="1" t="s">
        <v>797</v>
      </c>
      <c r="D490" s="1" t="str">
        <f>IFERROR(
  VLOOKUP(C490, category_map!A:B, 2, FALSE),
  C490
)
</f>
        <v>Bữa ăn/Súp</v>
      </c>
      <c r="E490" s="1">
        <v>350.0</v>
      </c>
      <c r="F490" s="2">
        <v>15.0</v>
      </c>
      <c r="G490" s="3">
        <v>55.0</v>
      </c>
      <c r="H490" s="3">
        <v>8.0</v>
      </c>
      <c r="I490" s="1">
        <v>14.0</v>
      </c>
      <c r="J490" s="3">
        <v>10.0</v>
      </c>
      <c r="K490" s="1">
        <v>900.0</v>
      </c>
      <c r="L490" s="1">
        <v>5.0</v>
      </c>
      <c r="M490" s="1" t="s">
        <v>41</v>
      </c>
      <c r="N490" s="1">
        <v>500.0</v>
      </c>
    </row>
    <row r="491">
      <c r="A491" s="1" t="s">
        <v>1047</v>
      </c>
      <c r="B491" s="1" t="s">
        <v>1048</v>
      </c>
      <c r="C491" s="1" t="s">
        <v>128</v>
      </c>
      <c r="D491" s="1" t="str">
        <f>IFERROR(
  VLOOKUP(C491, category_map!A:B, 2, FALSE),
  C491
)
</f>
        <v>Đậu</v>
      </c>
      <c r="E491" s="1">
        <v>105.0</v>
      </c>
      <c r="F491" s="2">
        <v>7.0</v>
      </c>
      <c r="G491" s="3">
        <v>20.0</v>
      </c>
      <c r="H491" s="3" t="s">
        <v>36</v>
      </c>
      <c r="I491" s="1">
        <v>6.0</v>
      </c>
      <c r="J491" s="3">
        <v>1.0</v>
      </c>
      <c r="K491" s="1">
        <v>230.0</v>
      </c>
      <c r="L491" s="1">
        <v>0.0</v>
      </c>
      <c r="M491" s="1" t="s">
        <v>41</v>
      </c>
      <c r="N491" s="1">
        <v>0.0</v>
      </c>
    </row>
    <row r="492">
      <c r="A492" s="1" t="s">
        <v>1049</v>
      </c>
      <c r="B492" s="1" t="s">
        <v>1050</v>
      </c>
      <c r="C492" s="1" t="s">
        <v>46</v>
      </c>
      <c r="D492" s="1" t="str">
        <f>IFERROR(
  VLOOKUP(C492, category_map!A:B, 2, FALSE),
  C492
)
</f>
        <v>Rau củ</v>
      </c>
      <c r="E492" s="1">
        <v>33.0</v>
      </c>
      <c r="F492" s="2">
        <v>46267.0</v>
      </c>
      <c r="G492" s="3">
        <v>6.0</v>
      </c>
      <c r="H492" s="3" t="s">
        <v>47</v>
      </c>
      <c r="I492" s="1">
        <v>2.0</v>
      </c>
      <c r="J492" s="3">
        <v>1.0</v>
      </c>
      <c r="K492" s="1">
        <v>29.0</v>
      </c>
      <c r="L492" s="1">
        <v>0.0</v>
      </c>
      <c r="M492" s="1" t="s">
        <v>41</v>
      </c>
      <c r="N492" s="1">
        <v>0.0</v>
      </c>
    </row>
    <row r="493">
      <c r="A493" s="1" t="s">
        <v>1051</v>
      </c>
      <c r="B493" s="1" t="s">
        <v>1052</v>
      </c>
      <c r="C493" s="1" t="s">
        <v>20</v>
      </c>
      <c r="D493" s="1" t="str">
        <f>IFERROR(
  VLOOKUP(C493, category_map!A:B, 2, FALSE),
  C493
)
</f>
        <v>Ngũ cốc</v>
      </c>
      <c r="E493" s="1">
        <v>80.0</v>
      </c>
      <c r="F493" s="2">
        <v>3.0</v>
      </c>
      <c r="G493" s="3">
        <v>15.0</v>
      </c>
      <c r="H493" s="3">
        <v>1.0</v>
      </c>
      <c r="I493" s="1">
        <v>1.0</v>
      </c>
      <c r="J493" s="3">
        <v>46143.0</v>
      </c>
      <c r="K493" s="1">
        <v>160.0</v>
      </c>
      <c r="L493" s="1">
        <v>0.0</v>
      </c>
      <c r="M493" s="1" t="s">
        <v>41</v>
      </c>
      <c r="N493" s="1">
        <v>0.0</v>
      </c>
    </row>
    <row r="494">
      <c r="A494" s="1" t="s">
        <v>1053</v>
      </c>
      <c r="B494" s="1" t="s">
        <v>1054</v>
      </c>
      <c r="C494" s="1" t="s">
        <v>267</v>
      </c>
      <c r="D494" s="1" t="str">
        <f>IFERROR(
  VLOOKUP(C494, category_map!A:B, 2, FALSE),
  C494
)
</f>
        <v>Bữa ăn/Ngũ cốc</v>
      </c>
      <c r="E494" s="1">
        <v>150.0</v>
      </c>
      <c r="F494" s="2">
        <v>3.0</v>
      </c>
      <c r="G494" s="3">
        <v>32.0</v>
      </c>
      <c r="H494" s="3">
        <v>1.0</v>
      </c>
      <c r="I494" s="1">
        <v>3.0</v>
      </c>
      <c r="J494" s="3">
        <v>1.0</v>
      </c>
      <c r="K494" s="1">
        <v>350.0</v>
      </c>
      <c r="L494" s="1">
        <v>5.0</v>
      </c>
      <c r="M494" s="1" t="s">
        <v>41</v>
      </c>
      <c r="N494" s="1">
        <v>0.0</v>
      </c>
    </row>
    <row r="495">
      <c r="A495" s="1" t="s">
        <v>1055</v>
      </c>
      <c r="B495" s="1" t="s">
        <v>1056</v>
      </c>
      <c r="C495" s="1" t="s">
        <v>50</v>
      </c>
      <c r="D495" s="1" t="str">
        <f>IFERROR(
  VLOOKUP(C495, category_map!A:B, 2, FALSE),
  C495
)
</f>
        <v>Sản phẩm từ sữa</v>
      </c>
      <c r="E495" s="1">
        <v>100.0</v>
      </c>
      <c r="F495" s="2">
        <v>6.0</v>
      </c>
      <c r="G495" s="3" t="s">
        <v>186</v>
      </c>
      <c r="H495" s="3">
        <v>8.0</v>
      </c>
      <c r="I495" s="1">
        <v>0.0</v>
      </c>
      <c r="J495" s="3" t="s">
        <v>25</v>
      </c>
      <c r="K495" s="1">
        <v>325.0</v>
      </c>
      <c r="L495" s="1">
        <v>21.0</v>
      </c>
      <c r="M495" s="1" t="s">
        <v>41</v>
      </c>
      <c r="N495" s="1">
        <v>0.0</v>
      </c>
    </row>
    <row r="496">
      <c r="A496" s="1" t="s">
        <v>1057</v>
      </c>
      <c r="B496" s="1" t="s">
        <v>1058</v>
      </c>
      <c r="C496" s="1" t="s">
        <v>23</v>
      </c>
      <c r="D496" s="1" t="str">
        <f>IFERROR(
  VLOOKUP(C496, category_map!A:B, 2, FALSE),
  C496
)
</f>
        <v>Đồ uống</v>
      </c>
      <c r="E496" s="1">
        <v>190.0</v>
      </c>
      <c r="F496" s="2">
        <v>0.0</v>
      </c>
      <c r="G496" s="3">
        <v>15.0</v>
      </c>
      <c r="H496" s="3">
        <v>0.0</v>
      </c>
      <c r="I496" s="1">
        <v>0.0</v>
      </c>
      <c r="J496" s="3">
        <v>15.0</v>
      </c>
      <c r="K496" s="1">
        <v>5.0</v>
      </c>
      <c r="L496" s="1">
        <v>0.0</v>
      </c>
      <c r="M496" s="1" t="s">
        <v>37</v>
      </c>
      <c r="N496" s="1">
        <v>90.0</v>
      </c>
    </row>
    <row r="497">
      <c r="A497" s="1" t="s">
        <v>1059</v>
      </c>
      <c r="B497" s="1" t="s">
        <v>1060</v>
      </c>
      <c r="C497" s="1" t="s">
        <v>23</v>
      </c>
      <c r="D497" s="1" t="str">
        <f>IFERROR(
  VLOOKUP(C497, category_map!A:B, 2, FALSE),
  C497
)
</f>
        <v>Đồ uống</v>
      </c>
      <c r="E497" s="1">
        <v>70.0</v>
      </c>
      <c r="F497" s="2">
        <v>0.0</v>
      </c>
      <c r="G497" s="3">
        <v>0.0</v>
      </c>
      <c r="H497" s="3">
        <v>0.0</v>
      </c>
      <c r="I497" s="1">
        <v>0.0</v>
      </c>
      <c r="J497" s="3">
        <v>0.0</v>
      </c>
      <c r="K497" s="1">
        <v>0.0</v>
      </c>
      <c r="L497" s="1">
        <v>0.0</v>
      </c>
      <c r="M497" s="1" t="s">
        <v>37</v>
      </c>
      <c r="N497" s="1">
        <v>0.0</v>
      </c>
    </row>
    <row r="498">
      <c r="A498" s="1" t="s">
        <v>1061</v>
      </c>
      <c r="B498" s="1" t="s">
        <v>1062</v>
      </c>
      <c r="C498" s="1" t="s">
        <v>23</v>
      </c>
      <c r="D498" s="1" t="str">
        <f>IFERROR(
  VLOOKUP(C498, category_map!A:B, 2, FALSE),
  C498
)
</f>
        <v>Đồ uống</v>
      </c>
      <c r="E498" s="1">
        <v>80.0</v>
      </c>
      <c r="F498" s="2">
        <v>0.0</v>
      </c>
      <c r="G498" s="3">
        <v>10.0</v>
      </c>
      <c r="H498" s="3">
        <v>0.0</v>
      </c>
      <c r="I498" s="1">
        <v>0.0</v>
      </c>
      <c r="J498" s="3">
        <v>10.0</v>
      </c>
      <c r="K498" s="1">
        <v>5.0</v>
      </c>
      <c r="L498" s="1">
        <v>0.0</v>
      </c>
      <c r="M498" s="1" t="s">
        <v>37</v>
      </c>
      <c r="N498" s="1">
        <v>0.0</v>
      </c>
    </row>
    <row r="499">
      <c r="A499" s="1" t="s">
        <v>1063</v>
      </c>
      <c r="B499" s="1" t="s">
        <v>1064</v>
      </c>
      <c r="C499" s="1" t="s">
        <v>23</v>
      </c>
      <c r="D499" s="1" t="str">
        <f>IFERROR(
  VLOOKUP(C499, category_map!A:B, 2, FALSE),
  C499
)
</f>
        <v>Đồ uống</v>
      </c>
      <c r="E499" s="1">
        <v>40.0</v>
      </c>
      <c r="F499" s="2">
        <v>0.0</v>
      </c>
      <c r="G499" s="3">
        <v>5.0</v>
      </c>
      <c r="H499" s="3">
        <v>0.0</v>
      </c>
      <c r="I499" s="1">
        <v>0.0</v>
      </c>
      <c r="J499" s="3">
        <v>5.0</v>
      </c>
      <c r="K499" s="1">
        <v>0.0</v>
      </c>
      <c r="L499" s="1">
        <v>0.0</v>
      </c>
      <c r="M499" s="1" t="s">
        <v>37</v>
      </c>
      <c r="N499" s="1">
        <v>0.0</v>
      </c>
    </row>
    <row r="500">
      <c r="A500" s="1" t="s">
        <v>1065</v>
      </c>
      <c r="B500" s="1" t="s">
        <v>1066</v>
      </c>
      <c r="C500" s="1" t="s">
        <v>153</v>
      </c>
      <c r="D500" s="1" t="str">
        <f>IFERROR(
  VLOOKUP(C500, category_map!A:B, 2, FALSE),
  C500
)
</f>
        <v>Gia vị</v>
      </c>
      <c r="E500" s="1">
        <v>1.0</v>
      </c>
      <c r="F500" s="2">
        <v>0.0</v>
      </c>
      <c r="G500" s="3" t="s">
        <v>55</v>
      </c>
      <c r="H500" s="3">
        <v>0.0</v>
      </c>
      <c r="I500" s="1" t="s">
        <v>25</v>
      </c>
      <c r="J500" s="3">
        <v>0.0</v>
      </c>
      <c r="K500" s="1">
        <v>0.0</v>
      </c>
      <c r="L500" s="1">
        <v>0.0</v>
      </c>
      <c r="M500" s="1" t="s">
        <v>37</v>
      </c>
      <c r="N500" s="1">
        <v>0.0</v>
      </c>
    </row>
    <row r="501">
      <c r="A501" s="1" t="s">
        <v>1067</v>
      </c>
      <c r="B501" s="1" t="s">
        <v>1068</v>
      </c>
      <c r="C501" s="1" t="s">
        <v>216</v>
      </c>
      <c r="D501" s="1" t="str">
        <f>IFERROR(
  VLOOKUP(C501, category_map!A:B, 2, FALSE),
  C501
)
</f>
        <v>Bữa ăn/Thịt</v>
      </c>
      <c r="E501" s="1">
        <v>550.0</v>
      </c>
      <c r="F501" s="2">
        <v>45.0</v>
      </c>
      <c r="G501" s="3">
        <v>15.0</v>
      </c>
      <c r="H501" s="3">
        <v>30.0</v>
      </c>
      <c r="I501" s="1">
        <v>4.0</v>
      </c>
      <c r="J501" s="3">
        <v>6.0</v>
      </c>
      <c r="K501" s="1">
        <v>900.0</v>
      </c>
      <c r="L501" s="1">
        <v>150.0</v>
      </c>
      <c r="M501" s="1" t="s">
        <v>41</v>
      </c>
      <c r="N501" s="1">
        <v>0.0</v>
      </c>
    </row>
    <row r="502">
      <c r="A502" s="1" t="s">
        <v>1069</v>
      </c>
      <c r="B502" s="1" t="s">
        <v>1070</v>
      </c>
      <c r="C502" s="1" t="s">
        <v>153</v>
      </c>
      <c r="D502" s="1" t="str">
        <f>IFERROR(
  VLOOKUP(C502, category_map!A:B, 2, FALSE),
  C502
)
</f>
        <v>Gia vị</v>
      </c>
      <c r="E502" s="1">
        <v>15.0</v>
      </c>
      <c r="F502" s="2" t="s">
        <v>36</v>
      </c>
      <c r="G502" s="3">
        <v>1.0</v>
      </c>
      <c r="H502" s="3">
        <v>1.0</v>
      </c>
      <c r="I502" s="1" t="s">
        <v>36</v>
      </c>
      <c r="J502" s="3" t="s">
        <v>36</v>
      </c>
      <c r="K502" s="1">
        <v>5.0</v>
      </c>
      <c r="L502" s="1">
        <v>0.0</v>
      </c>
      <c r="M502" s="1" t="s">
        <v>41</v>
      </c>
      <c r="N502" s="1">
        <v>0.0</v>
      </c>
    </row>
    <row r="503">
      <c r="A503" s="1" t="s">
        <v>1071</v>
      </c>
      <c r="B503" s="1" t="s">
        <v>1072</v>
      </c>
      <c r="C503" s="1" t="s">
        <v>908</v>
      </c>
      <c r="D503" s="1" t="str">
        <f>IFERROR(
  VLOOKUP(C503, category_map!A:B, 2, FALSE),
  C503
)
</f>
        <v>Bữa ăn/Cơm</v>
      </c>
      <c r="E503" s="1">
        <v>350.0</v>
      </c>
      <c r="F503" s="2">
        <v>10.0</v>
      </c>
      <c r="G503" s="3">
        <v>50.0</v>
      </c>
      <c r="H503" s="3">
        <v>12.0</v>
      </c>
      <c r="I503" s="1">
        <v>3.0</v>
      </c>
      <c r="J503" s="3">
        <v>3.0</v>
      </c>
      <c r="K503" s="1">
        <v>700.0</v>
      </c>
      <c r="L503" s="1">
        <v>30.0</v>
      </c>
      <c r="M503" s="1" t="s">
        <v>41</v>
      </c>
      <c r="N503" s="1">
        <v>0.0</v>
      </c>
    </row>
    <row r="504">
      <c r="A504" s="1" t="s">
        <v>1073</v>
      </c>
      <c r="B504" s="1" t="s">
        <v>1074</v>
      </c>
      <c r="C504" s="1" t="s">
        <v>153</v>
      </c>
      <c r="D504" s="1" t="str">
        <f>IFERROR(
  VLOOKUP(C504, category_map!A:B, 2, FALSE),
  C504
)
</f>
        <v>Gia vị</v>
      </c>
      <c r="E504" s="1">
        <v>1.0</v>
      </c>
      <c r="F504" s="2">
        <v>0.0</v>
      </c>
      <c r="G504" s="3" t="s">
        <v>25</v>
      </c>
      <c r="H504" s="3">
        <v>0.0</v>
      </c>
      <c r="I504" s="1">
        <v>0.0</v>
      </c>
      <c r="J504" s="3">
        <v>0.0</v>
      </c>
      <c r="K504" s="1">
        <v>0.0</v>
      </c>
      <c r="L504" s="1">
        <v>0.0</v>
      </c>
      <c r="M504" s="1" t="s">
        <v>41</v>
      </c>
      <c r="N504" s="1">
        <v>0.0</v>
      </c>
    </row>
    <row r="505">
      <c r="A505" s="1" t="s">
        <v>1075</v>
      </c>
      <c r="B505" s="1" t="s">
        <v>1076</v>
      </c>
      <c r="C505" s="1" t="s">
        <v>144</v>
      </c>
      <c r="D505" s="1" t="str">
        <f>IFERROR(
  VLOOKUP(C505, category_map!A:B, 2, FALSE),
  C505
)
</f>
        <v>Tráng miệng</v>
      </c>
      <c r="E505" s="1">
        <v>320.0</v>
      </c>
      <c r="F505" s="2">
        <v>6.0</v>
      </c>
      <c r="G505" s="3">
        <v>50.0</v>
      </c>
      <c r="H505" s="3">
        <v>12.0</v>
      </c>
      <c r="I505" s="1">
        <v>3.0</v>
      </c>
      <c r="J505" s="3">
        <v>25.0</v>
      </c>
      <c r="K505" s="1">
        <v>200.0</v>
      </c>
      <c r="L505" s="1">
        <v>70.0</v>
      </c>
      <c r="M505" s="1" t="s">
        <v>37</v>
      </c>
      <c r="N505" s="1">
        <v>0.0</v>
      </c>
    </row>
    <row r="506">
      <c r="A506" s="1" t="s">
        <v>1077</v>
      </c>
      <c r="B506" s="1" t="s">
        <v>1078</v>
      </c>
      <c r="C506" s="1" t="s">
        <v>28</v>
      </c>
      <c r="D506" s="1" t="str">
        <f>IFERROR(
  VLOOKUP(C506, category_map!A:B, 2, FALSE),
  C506
)
</f>
        <v>Trái cây</v>
      </c>
      <c r="E506" s="1">
        <v>30.0</v>
      </c>
      <c r="F506" s="2">
        <v>0.0</v>
      </c>
      <c r="G506" s="3">
        <v>8.0</v>
      </c>
      <c r="H506" s="3">
        <v>0.0</v>
      </c>
      <c r="I506" s="1" t="s">
        <v>36</v>
      </c>
      <c r="J506" s="3">
        <v>8.0</v>
      </c>
      <c r="K506" s="1">
        <v>5.0</v>
      </c>
      <c r="L506" s="1">
        <v>0.0</v>
      </c>
      <c r="M506" s="1" t="s">
        <v>37</v>
      </c>
      <c r="N506" s="1">
        <v>0.0</v>
      </c>
    </row>
    <row r="507">
      <c r="A507" s="1" t="s">
        <v>1079</v>
      </c>
      <c r="B507" s="1" t="s">
        <v>1080</v>
      </c>
      <c r="C507" s="1" t="s">
        <v>144</v>
      </c>
      <c r="D507" s="1" t="str">
        <f>IFERROR(
  VLOOKUP(C507, category_map!A:B, 2, FALSE),
  C507
)
</f>
        <v>Tráng miệng</v>
      </c>
      <c r="E507" s="1">
        <v>90.0</v>
      </c>
      <c r="F507" s="2">
        <v>2.0</v>
      </c>
      <c r="G507" s="3">
        <v>12.0</v>
      </c>
      <c r="H507" s="3">
        <v>4.0</v>
      </c>
      <c r="I507" s="1">
        <v>1.0</v>
      </c>
      <c r="J507" s="3">
        <v>10.0</v>
      </c>
      <c r="K507" s="1">
        <v>10.0</v>
      </c>
      <c r="L507" s="1">
        <v>0.0</v>
      </c>
      <c r="M507" s="1" t="s">
        <v>37</v>
      </c>
      <c r="N507" s="1">
        <v>0.0</v>
      </c>
    </row>
    <row r="508">
      <c r="A508" s="1" t="s">
        <v>1081</v>
      </c>
      <c r="B508" s="1" t="s">
        <v>1082</v>
      </c>
      <c r="C508" s="1" t="s">
        <v>23</v>
      </c>
      <c r="D508" s="1" t="str">
        <f>IFERROR(
  VLOOKUP(C508, category_map!A:B, 2, FALSE),
  C508
)
</f>
        <v>Đồ uống</v>
      </c>
      <c r="E508" s="1">
        <v>150.0</v>
      </c>
      <c r="F508" s="2">
        <v>0.0</v>
      </c>
      <c r="G508" s="3">
        <v>18.0</v>
      </c>
      <c r="H508" s="3">
        <v>0.0</v>
      </c>
      <c r="I508" s="1">
        <v>0.0</v>
      </c>
      <c r="J508" s="3">
        <v>18.0</v>
      </c>
      <c r="K508" s="1">
        <v>0.0</v>
      </c>
      <c r="L508" s="1">
        <v>0.0</v>
      </c>
      <c r="M508" s="1" t="s">
        <v>37</v>
      </c>
      <c r="N508" s="1">
        <v>0.0</v>
      </c>
    </row>
    <row r="509">
      <c r="A509" s="1" t="s">
        <v>1083</v>
      </c>
      <c r="B509" s="1" t="s">
        <v>1084</v>
      </c>
      <c r="C509" s="1" t="s">
        <v>144</v>
      </c>
      <c r="D509" s="1" t="str">
        <f>IFERROR(
  VLOOKUP(C509, category_map!A:B, 2, FALSE),
  C509
)
</f>
        <v>Tráng miệng</v>
      </c>
      <c r="E509" s="1">
        <v>300.0</v>
      </c>
      <c r="F509" s="2">
        <v>4.0</v>
      </c>
      <c r="G509" s="3">
        <v>25.0</v>
      </c>
      <c r="H509" s="3">
        <v>20.0</v>
      </c>
      <c r="I509" s="1">
        <v>0.0</v>
      </c>
      <c r="J509" s="3">
        <v>22.0</v>
      </c>
      <c r="K509" s="1">
        <v>50.0</v>
      </c>
      <c r="L509" s="1">
        <v>70.0</v>
      </c>
      <c r="M509" s="1" t="s">
        <v>37</v>
      </c>
      <c r="N509" s="1">
        <v>0.0</v>
      </c>
    </row>
    <row r="510">
      <c r="A510" s="1" t="s">
        <v>1085</v>
      </c>
      <c r="B510" s="1" t="s">
        <v>1086</v>
      </c>
      <c r="C510" s="1" t="s">
        <v>153</v>
      </c>
      <c r="D510" s="1" t="str">
        <f>IFERROR(
  VLOOKUP(C510, category_map!A:B, 2, FALSE),
  C510
)
</f>
        <v>Gia vị</v>
      </c>
      <c r="E510" s="1">
        <v>20.0</v>
      </c>
      <c r="F510" s="2">
        <v>0.0</v>
      </c>
      <c r="G510" s="3">
        <v>5.0</v>
      </c>
      <c r="H510" s="3">
        <v>0.0</v>
      </c>
      <c r="I510" s="1" t="s">
        <v>36</v>
      </c>
      <c r="J510" s="3">
        <v>46146.0</v>
      </c>
      <c r="K510" s="1">
        <v>0.0</v>
      </c>
      <c r="L510" s="1">
        <v>0.0</v>
      </c>
      <c r="M510" s="1" t="s">
        <v>37</v>
      </c>
      <c r="N510" s="1">
        <v>0.0</v>
      </c>
    </row>
    <row r="511">
      <c r="A511" s="1" t="s">
        <v>1087</v>
      </c>
      <c r="B511" s="1" t="s">
        <v>1088</v>
      </c>
      <c r="C511" s="1" t="s">
        <v>216</v>
      </c>
      <c r="D511" s="1" t="str">
        <f>IFERROR(
  VLOOKUP(C511, category_map!A:B, 2, FALSE),
  C511
)
</f>
        <v>Bữa ăn/Thịt</v>
      </c>
      <c r="E511" s="1">
        <v>380.0</v>
      </c>
      <c r="F511" s="2">
        <v>38.0</v>
      </c>
      <c r="G511" s="3">
        <v>5.0</v>
      </c>
      <c r="H511" s="3">
        <v>22.0</v>
      </c>
      <c r="I511" s="1" t="s">
        <v>36</v>
      </c>
      <c r="J511" s="3">
        <v>1.0</v>
      </c>
      <c r="K511" s="1">
        <v>850.0</v>
      </c>
      <c r="L511" s="1">
        <v>120.0</v>
      </c>
      <c r="M511" s="1" t="s">
        <v>41</v>
      </c>
      <c r="N511" s="1">
        <v>0.0</v>
      </c>
    </row>
    <row r="512">
      <c r="A512" s="1" t="s">
        <v>1089</v>
      </c>
      <c r="B512" s="1" t="s">
        <v>1090</v>
      </c>
      <c r="C512" s="1" t="s">
        <v>99</v>
      </c>
      <c r="D512" s="1" t="str">
        <f>IFERROR(
  VLOOKUP(C512, category_map!A:B, 2, FALSE),
  C512
)
</f>
        <v>Chất đạm/Thịt</v>
      </c>
      <c r="E512" s="1">
        <v>35.0</v>
      </c>
      <c r="F512" s="2">
        <v>4.0</v>
      </c>
      <c r="G512" s="3">
        <v>0.0</v>
      </c>
      <c r="H512" s="3">
        <v>46144.0</v>
      </c>
      <c r="I512" s="1">
        <v>0.0</v>
      </c>
      <c r="J512" s="3">
        <v>0.0</v>
      </c>
      <c r="K512" s="1">
        <v>280.0</v>
      </c>
      <c r="L512" s="1">
        <v>10.0</v>
      </c>
      <c r="M512" s="1" t="s">
        <v>41</v>
      </c>
      <c r="N512" s="1">
        <v>0.0</v>
      </c>
    </row>
    <row r="513">
      <c r="A513" s="1" t="s">
        <v>1091</v>
      </c>
      <c r="B513" s="1" t="s">
        <v>1092</v>
      </c>
      <c r="C513" s="1" t="s">
        <v>153</v>
      </c>
      <c r="D513" s="1" t="str">
        <f>IFERROR(
  VLOOKUP(C513, category_map!A:B, 2, FALSE),
  C513
)
</f>
        <v>Gia vị</v>
      </c>
      <c r="E513" s="1">
        <v>1.0</v>
      </c>
      <c r="F513" s="2">
        <v>0.0</v>
      </c>
      <c r="G513" s="3" t="s">
        <v>25</v>
      </c>
      <c r="H513" s="3">
        <v>0.0</v>
      </c>
      <c r="I513" s="1" t="s">
        <v>25</v>
      </c>
      <c r="J513" s="3">
        <v>0.0</v>
      </c>
      <c r="K513" s="1">
        <v>0.0</v>
      </c>
      <c r="L513" s="1">
        <v>0.0</v>
      </c>
      <c r="M513" s="1" t="s">
        <v>41</v>
      </c>
      <c r="N513" s="1">
        <v>0.0</v>
      </c>
    </row>
    <row r="514">
      <c r="A514" s="1" t="s">
        <v>1093</v>
      </c>
      <c r="B514" s="1" t="s">
        <v>1094</v>
      </c>
      <c r="C514" s="1" t="s">
        <v>267</v>
      </c>
      <c r="D514" s="1" t="str">
        <f>IFERROR(
  VLOOKUP(C514, category_map!A:B, 2, FALSE),
  C514
)
</f>
        <v>Bữa ăn/Ngũ cốc</v>
      </c>
      <c r="E514" s="1">
        <v>120.0</v>
      </c>
      <c r="F514" s="2">
        <v>46144.0</v>
      </c>
      <c r="G514" s="3">
        <v>25.0</v>
      </c>
      <c r="H514" s="3">
        <v>1.0</v>
      </c>
      <c r="I514" s="1">
        <v>2.0</v>
      </c>
      <c r="J514" s="3" t="s">
        <v>36</v>
      </c>
      <c r="K514" s="1">
        <v>300.0</v>
      </c>
      <c r="L514" s="1">
        <v>0.0</v>
      </c>
      <c r="M514" s="1" t="s">
        <v>41</v>
      </c>
      <c r="N514" s="1">
        <v>0.0</v>
      </c>
    </row>
    <row r="515">
      <c r="A515" s="1" t="s">
        <v>1095</v>
      </c>
      <c r="B515" s="1" t="s">
        <v>1096</v>
      </c>
      <c r="C515" s="1" t="s">
        <v>211</v>
      </c>
      <c r="D515" s="1" t="str">
        <f>IFERROR(
  VLOOKUP(C515, category_map!A:B, 2, FALSE),
  C515
)
</f>
        <v>Bữa ăn/Rau củ</v>
      </c>
      <c r="E515" s="1">
        <v>180.0</v>
      </c>
      <c r="F515" s="2">
        <v>2.0</v>
      </c>
      <c r="G515" s="3">
        <v>15.0</v>
      </c>
      <c r="H515" s="3">
        <v>14.0</v>
      </c>
      <c r="I515" s="1">
        <v>5.0</v>
      </c>
      <c r="J515" s="3">
        <v>9.0</v>
      </c>
      <c r="K515" s="1">
        <v>400.0</v>
      </c>
      <c r="L515" s="1">
        <v>0.0</v>
      </c>
      <c r="M515" s="1" t="s">
        <v>41</v>
      </c>
      <c r="N515" s="1">
        <v>0.0</v>
      </c>
    </row>
    <row r="516">
      <c r="A516" s="1" t="s">
        <v>1097</v>
      </c>
      <c r="B516" s="1" t="s">
        <v>1098</v>
      </c>
      <c r="C516" s="1" t="s">
        <v>46</v>
      </c>
      <c r="D516" s="1" t="str">
        <f>IFERROR(
  VLOOKUP(C516, category_map!A:B, 2, FALSE),
  C516
)
</f>
        <v>Rau củ</v>
      </c>
      <c r="E516" s="1">
        <v>40.0</v>
      </c>
      <c r="F516" s="2" t="s">
        <v>36</v>
      </c>
      <c r="G516" s="3">
        <v>6.0</v>
      </c>
      <c r="H516" s="3">
        <v>2.0</v>
      </c>
      <c r="I516" s="1">
        <v>2.0</v>
      </c>
      <c r="J516" s="3">
        <v>3.0</v>
      </c>
      <c r="K516" s="1">
        <v>150.0</v>
      </c>
      <c r="L516" s="1">
        <v>0.0</v>
      </c>
      <c r="M516" s="1" t="s">
        <v>41</v>
      </c>
      <c r="N516" s="1">
        <v>0.0</v>
      </c>
    </row>
    <row r="517">
      <c r="A517" s="1" t="s">
        <v>1099</v>
      </c>
      <c r="B517" s="1" t="s">
        <v>1100</v>
      </c>
      <c r="C517" s="1" t="s">
        <v>58</v>
      </c>
      <c r="D517" s="1" t="str">
        <f>IFERROR(
  VLOOKUP(C517, category_map!A:B, 2, FALSE),
  C517
)
</f>
        <v>Hạt</v>
      </c>
      <c r="E517" s="1">
        <v>48.0</v>
      </c>
      <c r="F517" s="2">
        <v>1.0</v>
      </c>
      <c r="G517" s="3">
        <v>1.0</v>
      </c>
      <c r="H517" s="3">
        <v>5.0</v>
      </c>
      <c r="I517" s="1" t="s">
        <v>55</v>
      </c>
      <c r="J517" s="3" t="s">
        <v>55</v>
      </c>
      <c r="K517" s="1">
        <v>0.0</v>
      </c>
      <c r="L517" s="1">
        <v>0.0</v>
      </c>
      <c r="M517" s="1" t="s">
        <v>41</v>
      </c>
      <c r="N517" s="1">
        <v>0.0</v>
      </c>
    </row>
    <row r="518">
      <c r="A518" s="1" t="s">
        <v>1101</v>
      </c>
      <c r="B518" s="1" t="s">
        <v>1102</v>
      </c>
      <c r="C518" s="1" t="s">
        <v>28</v>
      </c>
      <c r="D518" s="1" t="str">
        <f>IFERROR(
  VLOOKUP(C518, category_map!A:B, 2, FALSE),
  C518
)
</f>
        <v>Trái cây</v>
      </c>
      <c r="E518" s="1">
        <v>27.0</v>
      </c>
      <c r="F518" s="2" t="s">
        <v>24</v>
      </c>
      <c r="G518" s="3">
        <v>7.0</v>
      </c>
      <c r="H518" s="3">
        <v>0.0</v>
      </c>
      <c r="I518" s="1" t="s">
        <v>24</v>
      </c>
      <c r="J518" s="3">
        <v>6.0</v>
      </c>
      <c r="K518" s="1">
        <v>1.0</v>
      </c>
      <c r="L518" s="1">
        <v>0.0</v>
      </c>
      <c r="M518" s="1" t="s">
        <v>41</v>
      </c>
      <c r="N518" s="1">
        <v>0.0</v>
      </c>
    </row>
    <row r="519">
      <c r="A519" s="1" t="s">
        <v>1103</v>
      </c>
      <c r="B519" s="1" t="s">
        <v>1104</v>
      </c>
      <c r="C519" s="1" t="s">
        <v>144</v>
      </c>
      <c r="D519" s="1" t="str">
        <f>IFERROR(
  VLOOKUP(C519, category_map!A:B, 2, FALSE),
  C519
)
</f>
        <v>Tráng miệng</v>
      </c>
      <c r="E519" s="1">
        <v>220.0</v>
      </c>
      <c r="F519" s="2">
        <v>5.0</v>
      </c>
      <c r="G519" s="3">
        <v>24.0</v>
      </c>
      <c r="H519" s="3">
        <v>12.0</v>
      </c>
      <c r="I519" s="1">
        <v>2.0</v>
      </c>
      <c r="J519" s="3">
        <v>20.0</v>
      </c>
      <c r="K519" s="1">
        <v>60.0</v>
      </c>
      <c r="L519" s="1">
        <v>40.0</v>
      </c>
      <c r="M519" s="1" t="s">
        <v>37</v>
      </c>
      <c r="N519" s="1">
        <v>0.0</v>
      </c>
    </row>
    <row r="520">
      <c r="A520" s="1" t="s">
        <v>1105</v>
      </c>
      <c r="B520" s="1" t="s">
        <v>1106</v>
      </c>
      <c r="C520" s="1" t="s">
        <v>20</v>
      </c>
      <c r="D520" s="1" t="str">
        <f>IFERROR(
  VLOOKUP(C520, category_map!A:B, 2, FALSE),
  C520
)
</f>
        <v>Ngũ cốc</v>
      </c>
      <c r="E520" s="1">
        <v>70.0</v>
      </c>
      <c r="F520" s="2">
        <v>1.0</v>
      </c>
      <c r="G520" s="3">
        <v>13.0</v>
      </c>
      <c r="H520" s="3">
        <v>46143.0</v>
      </c>
      <c r="I520" s="1" t="s">
        <v>36</v>
      </c>
      <c r="J520" s="3">
        <v>7.0</v>
      </c>
      <c r="K520" s="1">
        <v>30.0</v>
      </c>
      <c r="L520" s="1">
        <v>5.0</v>
      </c>
      <c r="M520" s="1" t="s">
        <v>37</v>
      </c>
      <c r="N520" s="1">
        <v>0.0</v>
      </c>
    </row>
    <row r="521">
      <c r="A521" s="1" t="s">
        <v>1107</v>
      </c>
      <c r="B521" s="1" t="s">
        <v>1108</v>
      </c>
      <c r="C521" s="1" t="s">
        <v>66</v>
      </c>
      <c r="D521" s="1" t="str">
        <f>IFERROR(
  VLOOKUP(C521, category_map!A:B, 2, FALSE),
  C521
)
</f>
        <v>Bữa ăn/Mì ống</v>
      </c>
      <c r="E521" s="1">
        <v>500.0</v>
      </c>
      <c r="F521" s="2">
        <v>18.0</v>
      </c>
      <c r="G521" s="3">
        <v>65.0</v>
      </c>
      <c r="H521" s="3">
        <v>19.0</v>
      </c>
      <c r="I521" s="1">
        <v>4.0</v>
      </c>
      <c r="J521" s="3">
        <v>3.0</v>
      </c>
      <c r="K521" s="1">
        <v>700.0</v>
      </c>
      <c r="L521" s="1">
        <v>50.0</v>
      </c>
      <c r="M521" s="1" t="s">
        <v>41</v>
      </c>
      <c r="N521" s="1">
        <v>0.0</v>
      </c>
    </row>
    <row r="522">
      <c r="A522" s="1" t="s">
        <v>1109</v>
      </c>
      <c r="B522" s="1" t="s">
        <v>1110</v>
      </c>
      <c r="C522" s="1" t="s">
        <v>50</v>
      </c>
      <c r="D522" s="1" t="str">
        <f>IFERROR(
  VLOOKUP(C522, category_map!A:B, 2, FALSE),
  C522
)
</f>
        <v>Sản phẩm từ sữa</v>
      </c>
      <c r="E522" s="1">
        <v>110.0</v>
      </c>
      <c r="F522" s="2">
        <v>46149.0</v>
      </c>
      <c r="G522" s="3">
        <v>1.0</v>
      </c>
      <c r="H522" s="3">
        <v>46150.0</v>
      </c>
      <c r="I522" s="1">
        <v>0.0</v>
      </c>
      <c r="J522" s="3">
        <v>0.0</v>
      </c>
      <c r="K522" s="1">
        <v>450.0</v>
      </c>
      <c r="L522" s="1">
        <v>25.0</v>
      </c>
      <c r="M522" s="1" t="s">
        <v>41</v>
      </c>
      <c r="N522" s="1">
        <v>0.0</v>
      </c>
    </row>
    <row r="523">
      <c r="A523" s="1" t="s">
        <v>1111</v>
      </c>
      <c r="B523" s="1" t="s">
        <v>1112</v>
      </c>
      <c r="C523" s="1" t="s">
        <v>153</v>
      </c>
      <c r="D523" s="1" t="str">
        <f>IFERROR(
  VLOOKUP(C523, category_map!A:B, 2, FALSE),
  C523
)
</f>
        <v>Gia vị</v>
      </c>
      <c r="E523" s="1">
        <v>3.0</v>
      </c>
      <c r="F523" s="2" t="s">
        <v>25</v>
      </c>
      <c r="G523" s="3" t="s">
        <v>186</v>
      </c>
      <c r="H523" s="3">
        <v>0.0</v>
      </c>
      <c r="I523" s="1" t="s">
        <v>24</v>
      </c>
      <c r="J523" s="3">
        <v>0.0</v>
      </c>
      <c r="K523" s="1">
        <v>0.0</v>
      </c>
      <c r="L523" s="1">
        <v>0.0</v>
      </c>
      <c r="M523" s="1" t="s">
        <v>41</v>
      </c>
      <c r="N523" s="1">
        <v>0.0</v>
      </c>
    </row>
    <row r="524">
      <c r="A524" s="1" t="s">
        <v>1113</v>
      </c>
      <c r="B524" s="1" t="s">
        <v>1114</v>
      </c>
      <c r="C524" s="1" t="s">
        <v>99</v>
      </c>
      <c r="D524" s="1" t="str">
        <f>IFERROR(
  VLOOKUP(C524, category_map!A:B, 2, FALSE),
  C524
)
</f>
        <v>Chất đạm/Thịt</v>
      </c>
      <c r="E524" s="1">
        <v>230.0</v>
      </c>
      <c r="F524" s="2">
        <v>24.0</v>
      </c>
      <c r="G524" s="3">
        <v>0.0</v>
      </c>
      <c r="H524" s="3">
        <v>15.0</v>
      </c>
      <c r="I524" s="1">
        <v>0.0</v>
      </c>
      <c r="J524" s="3">
        <v>0.0</v>
      </c>
      <c r="K524" s="1">
        <v>60.0</v>
      </c>
      <c r="L524" s="1">
        <v>75.0</v>
      </c>
      <c r="M524" s="1" t="s">
        <v>41</v>
      </c>
      <c r="N524" s="1">
        <v>0.0</v>
      </c>
    </row>
    <row r="525">
      <c r="A525" s="1" t="s">
        <v>1038</v>
      </c>
      <c r="B525" s="1" t="s">
        <v>1115</v>
      </c>
      <c r="C525" s="1" t="s">
        <v>153</v>
      </c>
      <c r="D525" s="1" t="str">
        <f>IFERROR(
  VLOOKUP(C525, category_map!A:B, 2, FALSE),
  C525
)
</f>
        <v>Gia vị</v>
      </c>
      <c r="E525" s="1">
        <v>120.0</v>
      </c>
      <c r="F525" s="2">
        <v>0.0</v>
      </c>
      <c r="G525" s="3">
        <v>0.0</v>
      </c>
      <c r="H525" s="3">
        <v>14.0</v>
      </c>
      <c r="I525" s="1">
        <v>0.0</v>
      </c>
      <c r="J525" s="3">
        <v>0.0</v>
      </c>
      <c r="K525" s="1">
        <v>0.0</v>
      </c>
      <c r="L525" s="1">
        <v>0.0</v>
      </c>
      <c r="M525" s="1" t="s">
        <v>41</v>
      </c>
      <c r="N525" s="1">
        <v>0.0</v>
      </c>
    </row>
    <row r="526">
      <c r="A526" s="1" t="s">
        <v>1116</v>
      </c>
      <c r="B526" s="1" t="s">
        <v>1117</v>
      </c>
      <c r="C526" s="1" t="s">
        <v>153</v>
      </c>
      <c r="D526" s="1" t="str">
        <f>IFERROR(
  VLOOKUP(C526, category_map!A:B, 2, FALSE),
  C526
)
</f>
        <v>Gia vị</v>
      </c>
      <c r="E526" s="1">
        <v>1.0</v>
      </c>
      <c r="F526" s="2">
        <v>0.0</v>
      </c>
      <c r="G526" s="3" t="s">
        <v>55</v>
      </c>
      <c r="H526" s="3">
        <v>0.0</v>
      </c>
      <c r="I526" s="1" t="s">
        <v>25</v>
      </c>
      <c r="J526" s="3">
        <v>0.0</v>
      </c>
      <c r="K526" s="1">
        <v>0.0</v>
      </c>
      <c r="L526" s="1">
        <v>0.0</v>
      </c>
      <c r="M526" s="1" t="s">
        <v>41</v>
      </c>
      <c r="N526" s="1">
        <v>0.0</v>
      </c>
    </row>
    <row r="527">
      <c r="A527" s="1" t="s">
        <v>1118</v>
      </c>
      <c r="B527" s="1" t="s">
        <v>1119</v>
      </c>
      <c r="C527" s="1" t="s">
        <v>128</v>
      </c>
      <c r="D527" s="1" t="str">
        <f>IFERROR(
  VLOOKUP(C527, category_map!A:B, 2, FALSE),
  C527
)
</f>
        <v>Đậu</v>
      </c>
      <c r="E527" s="1">
        <v>150.0</v>
      </c>
      <c r="F527" s="2">
        <v>8.0</v>
      </c>
      <c r="G527" s="3">
        <v>20.0</v>
      </c>
      <c r="H527" s="3">
        <v>4.0</v>
      </c>
      <c r="I527" s="1">
        <v>7.0</v>
      </c>
      <c r="J527" s="3">
        <v>2.0</v>
      </c>
      <c r="K527" s="1">
        <v>350.0</v>
      </c>
      <c r="L527" s="1">
        <v>0.0</v>
      </c>
      <c r="M527" s="1" t="s">
        <v>41</v>
      </c>
      <c r="N527" s="1">
        <v>0.0</v>
      </c>
    </row>
    <row r="528">
      <c r="A528" s="1" t="s">
        <v>1120</v>
      </c>
      <c r="B528" s="1" t="s">
        <v>1121</v>
      </c>
      <c r="C528" s="1" t="s">
        <v>46</v>
      </c>
      <c r="D528" s="1" t="str">
        <f>IFERROR(
  VLOOKUP(C528, category_map!A:B, 2, FALSE),
  C528
)
</f>
        <v>Rau củ</v>
      </c>
      <c r="E528" s="1">
        <v>4.0</v>
      </c>
      <c r="F528" s="2" t="s">
        <v>55</v>
      </c>
      <c r="G528" s="3" t="s">
        <v>224</v>
      </c>
      <c r="H528" s="3">
        <v>0.0</v>
      </c>
      <c r="I528" s="1" t="s">
        <v>25</v>
      </c>
      <c r="J528" s="3">
        <v>0.0</v>
      </c>
      <c r="K528" s="1">
        <v>1.0</v>
      </c>
      <c r="L528" s="1">
        <v>0.0</v>
      </c>
      <c r="M528" s="1" t="s">
        <v>41</v>
      </c>
      <c r="N528" s="1">
        <v>0.0</v>
      </c>
    </row>
    <row r="529">
      <c r="A529" s="1" t="s">
        <v>1122</v>
      </c>
      <c r="B529" s="1" t="s">
        <v>1123</v>
      </c>
      <c r="C529" s="1" t="s">
        <v>153</v>
      </c>
      <c r="D529" s="1" t="str">
        <f>IFERROR(
  VLOOKUP(C529, category_map!A:B, 2, FALSE),
  C529
)
</f>
        <v>Gia vị</v>
      </c>
      <c r="E529" s="1">
        <v>1.0</v>
      </c>
      <c r="F529" s="2">
        <v>0.0</v>
      </c>
      <c r="G529" s="3" t="s">
        <v>25</v>
      </c>
      <c r="H529" s="3">
        <v>0.0</v>
      </c>
      <c r="I529" s="1" t="s">
        <v>25</v>
      </c>
      <c r="J529" s="3">
        <v>0.0</v>
      </c>
      <c r="K529" s="1">
        <v>0.0</v>
      </c>
      <c r="L529" s="1">
        <v>0.0</v>
      </c>
      <c r="M529" s="1" t="s">
        <v>41</v>
      </c>
      <c r="N529" s="1">
        <v>0.0</v>
      </c>
    </row>
    <row r="530">
      <c r="A530" s="1" t="s">
        <v>1124</v>
      </c>
      <c r="B530" s="1" t="s">
        <v>1125</v>
      </c>
      <c r="C530" s="1" t="s">
        <v>258</v>
      </c>
      <c r="D530" s="1" t="str">
        <f>IFERROR(
  VLOOKUP(C530, category_map!A:B, 2, FALSE),
  C530
)
</f>
        <v>Đồ ăn nhẹ/Chế biến</v>
      </c>
      <c r="E530" s="1">
        <v>250.0</v>
      </c>
      <c r="F530" s="2">
        <v>9.0</v>
      </c>
      <c r="G530" s="3">
        <v>30.0</v>
      </c>
      <c r="H530" s="3">
        <v>10.0</v>
      </c>
      <c r="I530" s="1">
        <v>3.0</v>
      </c>
      <c r="J530" s="3">
        <v>3.0</v>
      </c>
      <c r="K530" s="1">
        <v>500.0</v>
      </c>
      <c r="L530" s="1">
        <v>30.0</v>
      </c>
      <c r="M530" s="1" t="s">
        <v>37</v>
      </c>
      <c r="N530" s="1">
        <v>0.0</v>
      </c>
    </row>
    <row r="531">
      <c r="A531" s="1" t="s">
        <v>1126</v>
      </c>
      <c r="B531" s="1" t="s">
        <v>1127</v>
      </c>
      <c r="C531" s="1" t="s">
        <v>153</v>
      </c>
      <c r="D531" s="1" t="str">
        <f>IFERROR(
  VLOOKUP(C531, category_map!A:B, 2, FALSE),
  C531
)
</f>
        <v>Gia vị</v>
      </c>
      <c r="E531" s="1">
        <v>25.0</v>
      </c>
      <c r="F531" s="2">
        <v>46143.0</v>
      </c>
      <c r="G531" s="3">
        <v>1.0</v>
      </c>
      <c r="H531" s="3">
        <v>46143.0</v>
      </c>
      <c r="I531" s="1" t="s">
        <v>36</v>
      </c>
      <c r="J531" s="3" t="s">
        <v>36</v>
      </c>
      <c r="K531" s="1">
        <v>60.0</v>
      </c>
      <c r="L531" s="1">
        <v>5.0</v>
      </c>
      <c r="M531" s="1" t="s">
        <v>37</v>
      </c>
      <c r="N531" s="1">
        <v>0.0</v>
      </c>
    </row>
    <row r="532">
      <c r="A532" s="1" t="s">
        <v>1128</v>
      </c>
      <c r="B532" s="1" t="s">
        <v>1129</v>
      </c>
      <c r="C532" s="1" t="s">
        <v>50</v>
      </c>
      <c r="D532" s="1" t="str">
        <f>IFERROR(
  VLOOKUP(C532, category_map!A:B, 2, FALSE),
  C532
)
</f>
        <v>Sản phẩm từ sữa</v>
      </c>
      <c r="E532" s="1">
        <v>40.0</v>
      </c>
      <c r="F532" s="2">
        <v>3.0</v>
      </c>
      <c r="G532" s="3" t="s">
        <v>36</v>
      </c>
      <c r="H532" s="3">
        <v>3.0</v>
      </c>
      <c r="I532" s="1">
        <v>0.0</v>
      </c>
      <c r="J532" s="3" t="s">
        <v>55</v>
      </c>
      <c r="K532" s="1">
        <v>75.0</v>
      </c>
      <c r="L532" s="1">
        <v>10.0</v>
      </c>
      <c r="M532" s="1" t="s">
        <v>37</v>
      </c>
      <c r="N532" s="1">
        <v>0.0</v>
      </c>
    </row>
    <row r="533">
      <c r="A533" s="1" t="s">
        <v>1130</v>
      </c>
      <c r="B533" s="1" t="s">
        <v>1131</v>
      </c>
      <c r="C533" s="1" t="s">
        <v>20</v>
      </c>
      <c r="D533" s="1" t="str">
        <f>IFERROR(
  VLOOKUP(C533, category_map!A:B, 2, FALSE),
  C533
)
</f>
        <v>Ngũ cốc</v>
      </c>
      <c r="E533" s="1">
        <v>25.0</v>
      </c>
      <c r="F533" s="2" t="s">
        <v>36</v>
      </c>
      <c r="G533" s="3">
        <v>4.0</v>
      </c>
      <c r="H533" s="3" t="s">
        <v>36</v>
      </c>
      <c r="I533" s="1" t="s">
        <v>36</v>
      </c>
      <c r="J533" s="3" t="s">
        <v>36</v>
      </c>
      <c r="K533" s="1">
        <v>50.0</v>
      </c>
      <c r="L533" s="1">
        <v>0.0</v>
      </c>
      <c r="M533" s="1" t="s">
        <v>37</v>
      </c>
      <c r="N533" s="1">
        <v>0.0</v>
      </c>
    </row>
    <row r="534">
      <c r="A534" s="1" t="s">
        <v>1132</v>
      </c>
      <c r="B534" s="1" t="s">
        <v>1133</v>
      </c>
      <c r="C534" s="1" t="s">
        <v>23</v>
      </c>
      <c r="D534" s="1" t="str">
        <f>IFERROR(
  VLOOKUP(C534, category_map!A:B, 2, FALSE),
  C534
)
</f>
        <v>Đồ uống</v>
      </c>
      <c r="E534" s="1">
        <v>85.0</v>
      </c>
      <c r="F534" s="2">
        <v>0.0</v>
      </c>
      <c r="G534" s="3">
        <v>10.0</v>
      </c>
      <c r="H534" s="3">
        <v>0.0</v>
      </c>
      <c r="I534" s="1">
        <v>0.0</v>
      </c>
      <c r="J534" s="3">
        <v>10.0</v>
      </c>
      <c r="K534" s="1">
        <v>25.0</v>
      </c>
      <c r="L534" s="1">
        <v>0.0</v>
      </c>
      <c r="M534" s="1" t="s">
        <v>37</v>
      </c>
      <c r="N534" s="1">
        <v>150.0</v>
      </c>
    </row>
    <row r="535">
      <c r="A535" s="1" t="s">
        <v>1134</v>
      </c>
      <c r="B535" s="1" t="s">
        <v>1135</v>
      </c>
      <c r="C535" s="1" t="s">
        <v>28</v>
      </c>
      <c r="D535" s="1" t="str">
        <f>IFERROR(
  VLOOKUP(C535, category_map!A:B, 2, FALSE),
  C535
)
</f>
        <v>Trái cây</v>
      </c>
      <c r="E535" s="1">
        <v>5.0</v>
      </c>
      <c r="F535" s="2">
        <v>0.0</v>
      </c>
      <c r="G535" s="3" t="s">
        <v>25</v>
      </c>
      <c r="H535" s="3" t="s">
        <v>36</v>
      </c>
      <c r="I535" s="1" t="s">
        <v>25</v>
      </c>
      <c r="J535" s="3">
        <v>0.0</v>
      </c>
      <c r="K535" s="1">
        <v>30.0</v>
      </c>
      <c r="L535" s="1">
        <v>0.0</v>
      </c>
      <c r="M535" s="1" t="s">
        <v>37</v>
      </c>
      <c r="N535" s="1">
        <v>0.0</v>
      </c>
    </row>
    <row r="536">
      <c r="A536" s="1" t="s">
        <v>1136</v>
      </c>
      <c r="B536" s="1" t="s">
        <v>1137</v>
      </c>
      <c r="C536" s="1" t="s">
        <v>216</v>
      </c>
      <c r="D536" s="1" t="str">
        <f>IFERROR(
  VLOOKUP(C536, category_map!A:B, 2, FALSE),
  C536
)
</f>
        <v>Bữa ăn/Thịt</v>
      </c>
      <c r="E536" s="1">
        <v>380.0</v>
      </c>
      <c r="F536" s="2">
        <v>35.0</v>
      </c>
      <c r="G536" s="3">
        <v>3.0</v>
      </c>
      <c r="H536" s="3">
        <v>25.0</v>
      </c>
      <c r="I536" s="1" t="s">
        <v>36</v>
      </c>
      <c r="J536" s="3">
        <v>1.0</v>
      </c>
      <c r="K536" s="1">
        <v>600.0</v>
      </c>
      <c r="L536" s="1">
        <v>110.0</v>
      </c>
      <c r="M536" s="1" t="s">
        <v>33</v>
      </c>
      <c r="N536" s="1">
        <v>0.0</v>
      </c>
    </row>
    <row r="537">
      <c r="A537" s="1" t="s">
        <v>1138</v>
      </c>
      <c r="B537" s="1" t="s">
        <v>1139</v>
      </c>
      <c r="C537" s="1" t="s">
        <v>153</v>
      </c>
      <c r="D537" s="1" t="str">
        <f>IFERROR(
  VLOOKUP(C537, category_map!A:B, 2, FALSE),
  C537
)
</f>
        <v>Gia vị</v>
      </c>
      <c r="E537" s="1">
        <v>100.0</v>
      </c>
      <c r="F537" s="2">
        <v>4.0</v>
      </c>
      <c r="G537" s="3">
        <v>1.0</v>
      </c>
      <c r="H537" s="3">
        <v>9.0</v>
      </c>
      <c r="I537" s="1">
        <v>0.0</v>
      </c>
      <c r="J537" s="3" t="s">
        <v>36</v>
      </c>
      <c r="K537" s="1">
        <v>200.0</v>
      </c>
      <c r="L537" s="1">
        <v>15.0</v>
      </c>
      <c r="M537" s="1" t="s">
        <v>33</v>
      </c>
      <c r="N537" s="1">
        <v>0.0</v>
      </c>
    </row>
    <row r="538">
      <c r="A538" s="1" t="s">
        <v>1140</v>
      </c>
      <c r="B538" s="1" t="s">
        <v>1141</v>
      </c>
      <c r="C538" s="1" t="s">
        <v>153</v>
      </c>
      <c r="D538" s="1" t="str">
        <f>IFERROR(
  VLOOKUP(C538, category_map!A:B, 2, FALSE),
  C538
)
</f>
        <v>Gia vị</v>
      </c>
      <c r="E538" s="1">
        <v>2.0</v>
      </c>
      <c r="F538" s="2" t="s">
        <v>55</v>
      </c>
      <c r="G538" s="3" t="s">
        <v>29</v>
      </c>
      <c r="H538" s="3" t="s">
        <v>25</v>
      </c>
      <c r="I538" s="1" t="s">
        <v>24</v>
      </c>
      <c r="J538" s="3" t="s">
        <v>25</v>
      </c>
      <c r="K538" s="1">
        <v>200.0</v>
      </c>
      <c r="L538" s="1">
        <v>0.0</v>
      </c>
      <c r="M538" s="1" t="s">
        <v>33</v>
      </c>
      <c r="N538" s="1">
        <v>0.0</v>
      </c>
    </row>
    <row r="539">
      <c r="A539" s="1" t="s">
        <v>1142</v>
      </c>
      <c r="B539" s="1" t="s">
        <v>1143</v>
      </c>
      <c r="C539" s="1" t="s">
        <v>153</v>
      </c>
      <c r="D539" s="1" t="str">
        <f>IFERROR(
  VLOOKUP(C539, category_map!A:B, 2, FALSE),
  C539
)
</f>
        <v>Gia vị</v>
      </c>
      <c r="E539" s="1">
        <v>1.0</v>
      </c>
      <c r="F539" s="2">
        <v>0.0</v>
      </c>
      <c r="G539" s="3" t="s">
        <v>24</v>
      </c>
      <c r="H539" s="3">
        <v>0.0</v>
      </c>
      <c r="I539" s="1" t="s">
        <v>25</v>
      </c>
      <c r="J539" s="3" t="s">
        <v>25</v>
      </c>
      <c r="K539" s="1">
        <v>0.0</v>
      </c>
      <c r="L539" s="1">
        <v>0.0</v>
      </c>
      <c r="M539" s="1" t="s">
        <v>33</v>
      </c>
      <c r="N539" s="1">
        <v>0.0</v>
      </c>
    </row>
    <row r="540">
      <c r="A540" s="1" t="s">
        <v>1144</v>
      </c>
      <c r="B540" s="1" t="s">
        <v>1145</v>
      </c>
      <c r="C540" s="1" t="s">
        <v>66</v>
      </c>
      <c r="D540" s="1" t="str">
        <f>IFERROR(
  VLOOKUP(C540, category_map!A:B, 2, FALSE),
  C540
)
</f>
        <v>Bữa ăn/Mì ống</v>
      </c>
      <c r="E540" s="1">
        <v>450.0</v>
      </c>
      <c r="F540" s="2">
        <v>15.0</v>
      </c>
      <c r="G540" s="3">
        <v>60.0</v>
      </c>
      <c r="H540" s="3">
        <v>18.0</v>
      </c>
      <c r="I540" s="1">
        <v>6.0</v>
      </c>
      <c r="J540" s="3">
        <v>9.0</v>
      </c>
      <c r="K540" s="1">
        <v>800.0</v>
      </c>
      <c r="L540" s="1">
        <v>40.0</v>
      </c>
      <c r="M540" s="1" t="s">
        <v>41</v>
      </c>
      <c r="N540" s="1">
        <v>0.0</v>
      </c>
    </row>
    <row r="541">
      <c r="A541" s="1" t="s">
        <v>1146</v>
      </c>
      <c r="B541" s="1" t="s">
        <v>1147</v>
      </c>
      <c r="C541" s="1" t="s">
        <v>153</v>
      </c>
      <c r="D541" s="1" t="str">
        <f>IFERROR(
  VLOOKUP(C541, category_map!A:B, 2, FALSE),
  C541
)
</f>
        <v>Gia vị</v>
      </c>
      <c r="E541" s="1">
        <v>40.0</v>
      </c>
      <c r="F541" s="2">
        <v>46143.0</v>
      </c>
      <c r="G541" s="3">
        <v>7.0</v>
      </c>
      <c r="H541" s="3">
        <v>1.0</v>
      </c>
      <c r="I541" s="1">
        <v>2.0</v>
      </c>
      <c r="J541" s="3">
        <v>4.0</v>
      </c>
      <c r="K541" s="1">
        <v>350.0</v>
      </c>
      <c r="L541" s="1">
        <v>0.0</v>
      </c>
      <c r="M541" s="1" t="s">
        <v>41</v>
      </c>
      <c r="N541" s="1">
        <v>0.0</v>
      </c>
    </row>
    <row r="542">
      <c r="A542" s="1" t="s">
        <v>1148</v>
      </c>
      <c r="B542" s="1" t="s">
        <v>1149</v>
      </c>
      <c r="C542" s="1" t="s">
        <v>50</v>
      </c>
      <c r="D542" s="1" t="str">
        <f>IFERROR(
  VLOOKUP(C542, category_map!A:B, 2, FALSE),
  C542
)
</f>
        <v>Sản phẩm từ sữa</v>
      </c>
      <c r="E542" s="1">
        <v>80.0</v>
      </c>
      <c r="F542" s="2">
        <v>6.0</v>
      </c>
      <c r="G542" s="3">
        <v>1.0</v>
      </c>
      <c r="H542" s="3">
        <v>6.0</v>
      </c>
      <c r="I542" s="1">
        <v>0.0</v>
      </c>
      <c r="J542" s="3" t="s">
        <v>36</v>
      </c>
      <c r="K542" s="1">
        <v>150.0</v>
      </c>
      <c r="L542" s="1">
        <v>20.0</v>
      </c>
      <c r="M542" s="1" t="s">
        <v>41</v>
      </c>
      <c r="N542" s="1">
        <v>0.0</v>
      </c>
    </row>
    <row r="543">
      <c r="A543" s="1" t="s">
        <v>1150</v>
      </c>
      <c r="B543" s="1" t="s">
        <v>1151</v>
      </c>
      <c r="C543" s="1" t="s">
        <v>153</v>
      </c>
      <c r="D543" s="1" t="str">
        <f>IFERROR(
  VLOOKUP(C543, category_map!A:B, 2, FALSE),
  C543
)
</f>
        <v>Gia vị</v>
      </c>
      <c r="E543" s="1">
        <v>1.0</v>
      </c>
      <c r="F543" s="2" t="s">
        <v>25</v>
      </c>
      <c r="G543" s="3">
        <v>0.0</v>
      </c>
      <c r="H543" s="3">
        <v>0.0</v>
      </c>
      <c r="I543" s="1" t="s">
        <v>25</v>
      </c>
      <c r="J543" s="3">
        <v>0.0</v>
      </c>
      <c r="K543" s="1">
        <v>0.0</v>
      </c>
      <c r="L543" s="1">
        <v>0.0</v>
      </c>
      <c r="M543" s="1" t="s">
        <v>41</v>
      </c>
      <c r="N543" s="1">
        <v>0.0</v>
      </c>
    </row>
    <row r="544">
      <c r="A544" s="1" t="s">
        <v>1152</v>
      </c>
      <c r="B544" s="1" t="s">
        <v>1153</v>
      </c>
      <c r="C544" s="1" t="s">
        <v>153</v>
      </c>
      <c r="D544" s="1" t="str">
        <f>IFERROR(
  VLOOKUP(C544, category_map!A:B, 2, FALSE),
  C544
)
</f>
        <v>Gia vị</v>
      </c>
      <c r="E544" s="1">
        <v>290.0</v>
      </c>
      <c r="F544" s="2">
        <v>5.0</v>
      </c>
      <c r="G544" s="3">
        <v>4.0</v>
      </c>
      <c r="H544" s="3">
        <v>29.0</v>
      </c>
      <c r="I544" s="1">
        <v>2.0</v>
      </c>
      <c r="J544" s="3">
        <v>1.0</v>
      </c>
      <c r="K544" s="1">
        <v>600.0</v>
      </c>
      <c r="L544" s="1">
        <v>5.0</v>
      </c>
      <c r="M544" s="1" t="s">
        <v>41</v>
      </c>
      <c r="N544" s="1">
        <v>0.0</v>
      </c>
    </row>
    <row r="545">
      <c r="A545" s="1" t="s">
        <v>1154</v>
      </c>
      <c r="B545" s="1" t="s">
        <v>1155</v>
      </c>
      <c r="C545" s="1" t="s">
        <v>58</v>
      </c>
      <c r="D545" s="1" t="str">
        <f>IFERROR(
  VLOOKUP(C545, category_map!A:B, 2, FALSE),
  C545
)
</f>
        <v>Hạt</v>
      </c>
      <c r="E545" s="1">
        <v>95.0</v>
      </c>
      <c r="F545" s="2">
        <v>2.0</v>
      </c>
      <c r="G545" s="3">
        <v>2.0</v>
      </c>
      <c r="H545" s="3">
        <v>10.0</v>
      </c>
      <c r="I545" s="1" t="s">
        <v>36</v>
      </c>
      <c r="J545" s="3" t="s">
        <v>36</v>
      </c>
      <c r="K545" s="1">
        <v>0.0</v>
      </c>
      <c r="L545" s="1">
        <v>0.0</v>
      </c>
      <c r="M545" s="1" t="s">
        <v>41</v>
      </c>
      <c r="N545" s="1">
        <v>0.0</v>
      </c>
    </row>
    <row r="546">
      <c r="A546" s="1" t="s">
        <v>1156</v>
      </c>
      <c r="B546" s="1" t="s">
        <v>1157</v>
      </c>
      <c r="C546" s="1" t="s">
        <v>46</v>
      </c>
      <c r="D546" s="1" t="str">
        <f>IFERROR(
  VLOOKUP(C546, category_map!A:B, 2, FALSE),
  C546
)
</f>
        <v>Rau củ</v>
      </c>
      <c r="E546" s="1">
        <v>2.0</v>
      </c>
      <c r="F546" s="2" t="s">
        <v>25</v>
      </c>
      <c r="G546" s="3" t="s">
        <v>36</v>
      </c>
      <c r="H546" s="3">
        <v>0.0</v>
      </c>
      <c r="I546" s="1">
        <v>0.0</v>
      </c>
      <c r="J546" s="3">
        <v>0.0</v>
      </c>
      <c r="K546" s="1">
        <v>0.0</v>
      </c>
      <c r="L546" s="1">
        <v>0.0</v>
      </c>
      <c r="M546" s="1" t="s">
        <v>41</v>
      </c>
      <c r="N546" s="1">
        <v>0.0</v>
      </c>
    </row>
    <row r="547">
      <c r="A547" s="1" t="s">
        <v>1158</v>
      </c>
      <c r="B547" s="1" t="s">
        <v>1159</v>
      </c>
      <c r="C547" s="1" t="s">
        <v>20</v>
      </c>
      <c r="D547" s="1" t="str">
        <f>IFERROR(
  VLOOKUP(C547, category_map!A:B, 2, FALSE),
  C547
)
</f>
        <v>Ngũ cốc</v>
      </c>
      <c r="E547" s="1">
        <v>210.0</v>
      </c>
      <c r="F547" s="2">
        <v>7.0</v>
      </c>
      <c r="G547" s="3">
        <v>43.0</v>
      </c>
      <c r="H547" s="3">
        <v>1.0</v>
      </c>
      <c r="I547" s="1">
        <v>2.0</v>
      </c>
      <c r="J547" s="3">
        <v>1.0</v>
      </c>
      <c r="K547" s="1">
        <v>5.0</v>
      </c>
      <c r="L547" s="1">
        <v>0.0</v>
      </c>
      <c r="M547" s="1" t="s">
        <v>41</v>
      </c>
      <c r="N547" s="1">
        <v>0.0</v>
      </c>
    </row>
    <row r="548">
      <c r="A548" s="1" t="s">
        <v>1160</v>
      </c>
      <c r="B548" s="1" t="s">
        <v>1161</v>
      </c>
      <c r="C548" s="1" t="s">
        <v>46</v>
      </c>
      <c r="D548" s="1" t="str">
        <f>IFERROR(
  VLOOKUP(C548, category_map!A:B, 2, FALSE),
  C548
)
</f>
        <v>Rau củ</v>
      </c>
      <c r="E548" s="1">
        <v>15.0</v>
      </c>
      <c r="F548" s="2" t="s">
        <v>224</v>
      </c>
      <c r="G548" s="3">
        <v>46145.0</v>
      </c>
      <c r="H548" s="3" t="s">
        <v>25</v>
      </c>
      <c r="I548" s="4">
        <v>46082.0</v>
      </c>
      <c r="J548" s="3">
        <v>46174.0</v>
      </c>
      <c r="K548" s="1">
        <v>3.0</v>
      </c>
      <c r="L548" s="1">
        <v>0.0</v>
      </c>
      <c r="M548" s="1" t="s">
        <v>41</v>
      </c>
      <c r="N548" s="1">
        <v>0.0</v>
      </c>
    </row>
    <row r="549">
      <c r="A549" s="1" t="s">
        <v>1162</v>
      </c>
      <c r="B549" s="1" t="s">
        <v>1163</v>
      </c>
      <c r="C549" s="1" t="s">
        <v>46</v>
      </c>
      <c r="D549" s="1" t="str">
        <f>IFERROR(
  VLOOKUP(C549, category_map!A:B, 2, FALSE),
  C549
)
</f>
        <v>Rau củ</v>
      </c>
      <c r="E549" s="1">
        <v>65.0</v>
      </c>
      <c r="F549" s="2">
        <v>1.0</v>
      </c>
      <c r="G549" s="3">
        <v>15.0</v>
      </c>
      <c r="H549" s="3" t="s">
        <v>25</v>
      </c>
      <c r="I549" s="1">
        <v>1.0</v>
      </c>
      <c r="J549" s="3" t="s">
        <v>36</v>
      </c>
      <c r="K549" s="1">
        <v>3.0</v>
      </c>
      <c r="L549" s="1">
        <v>0.0</v>
      </c>
      <c r="M549" s="1" t="s">
        <v>41</v>
      </c>
      <c r="N549" s="1">
        <v>0.0</v>
      </c>
    </row>
    <row r="550">
      <c r="A550" s="1" t="s">
        <v>1164</v>
      </c>
      <c r="B550" s="1" t="s">
        <v>1165</v>
      </c>
      <c r="C550" s="1" t="s">
        <v>23</v>
      </c>
      <c r="D550" s="1" t="str">
        <f>IFERROR(
  VLOOKUP(C550, category_map!A:B, 2, FALSE),
  C550
)
</f>
        <v>Đồ uống</v>
      </c>
      <c r="E550" s="1">
        <v>280.0</v>
      </c>
      <c r="F550" s="2" t="s">
        <v>36</v>
      </c>
      <c r="G550" s="3">
        <v>25.0</v>
      </c>
      <c r="H550" s="3">
        <v>0.0</v>
      </c>
      <c r="I550" s="1">
        <v>0.0</v>
      </c>
      <c r="J550" s="3">
        <v>25.0</v>
      </c>
      <c r="K550" s="1">
        <v>5.0</v>
      </c>
      <c r="L550" s="1">
        <v>0.0</v>
      </c>
      <c r="M550" s="1" t="s">
        <v>37</v>
      </c>
      <c r="N550" s="1">
        <v>120.0</v>
      </c>
    </row>
    <row r="551">
      <c r="A551" s="1" t="s">
        <v>1166</v>
      </c>
      <c r="B551" s="1" t="s">
        <v>1167</v>
      </c>
      <c r="C551" s="1" t="s">
        <v>23</v>
      </c>
      <c r="D551" s="1" t="str">
        <f>IFERROR(
  VLOOKUP(C551, category_map!A:B, 2, FALSE),
  C551
)
</f>
        <v>Đồ uống</v>
      </c>
      <c r="E551" s="1">
        <v>97.0</v>
      </c>
      <c r="F551" s="2">
        <v>0.0</v>
      </c>
      <c r="G551" s="3">
        <v>0.0</v>
      </c>
      <c r="H551" s="3">
        <v>0.0</v>
      </c>
      <c r="I551" s="1">
        <v>0.0</v>
      </c>
      <c r="J551" s="3">
        <v>0.0</v>
      </c>
      <c r="K551" s="1">
        <v>0.0</v>
      </c>
      <c r="L551" s="1">
        <v>0.0</v>
      </c>
      <c r="M551" s="1" t="s">
        <v>37</v>
      </c>
      <c r="N551" s="1">
        <v>0.0</v>
      </c>
    </row>
    <row r="552">
      <c r="A552" s="1" t="s">
        <v>1168</v>
      </c>
      <c r="B552" s="1" t="s">
        <v>1169</v>
      </c>
      <c r="C552" s="1" t="s">
        <v>23</v>
      </c>
      <c r="D552" s="1" t="str">
        <f>IFERROR(
  VLOOKUP(C552, category_map!A:B, 2, FALSE),
  C552
)
</f>
        <v>Đồ uống</v>
      </c>
      <c r="E552" s="1">
        <v>100.0</v>
      </c>
      <c r="F552" s="2">
        <v>0.0</v>
      </c>
      <c r="G552" s="3">
        <v>15.0</v>
      </c>
      <c r="H552" s="3">
        <v>0.0</v>
      </c>
      <c r="I552" s="1">
        <v>0.0</v>
      </c>
      <c r="J552" s="3">
        <v>15.0</v>
      </c>
      <c r="K552" s="1">
        <v>2.0</v>
      </c>
      <c r="L552" s="1">
        <v>0.0</v>
      </c>
      <c r="M552" s="1" t="s">
        <v>37</v>
      </c>
      <c r="N552" s="1">
        <v>0.0</v>
      </c>
    </row>
    <row r="553">
      <c r="A553" s="1" t="s">
        <v>1170</v>
      </c>
      <c r="B553" s="1" t="s">
        <v>1171</v>
      </c>
      <c r="C553" s="1" t="s">
        <v>23</v>
      </c>
      <c r="D553" s="1" t="str">
        <f>IFERROR(
  VLOOKUP(C553, category_map!A:B, 2, FALSE),
  C553
)
</f>
        <v>Đồ uống</v>
      </c>
      <c r="E553" s="1">
        <v>3.0</v>
      </c>
      <c r="F553" s="2" t="s">
        <v>24</v>
      </c>
      <c r="G553" s="3">
        <v>0.0</v>
      </c>
      <c r="H553" s="3" t="s">
        <v>25</v>
      </c>
      <c r="I553" s="1">
        <v>0.0</v>
      </c>
      <c r="J553" s="3">
        <v>0.0</v>
      </c>
      <c r="K553" s="1">
        <v>1.0</v>
      </c>
      <c r="L553" s="1">
        <v>0.0</v>
      </c>
      <c r="M553" s="1" t="s">
        <v>37</v>
      </c>
      <c r="N553" s="1">
        <v>0.0</v>
      </c>
    </row>
    <row r="554">
      <c r="A554" s="1" t="s">
        <v>1172</v>
      </c>
      <c r="B554" s="1" t="s">
        <v>1173</v>
      </c>
      <c r="C554" s="1" t="s">
        <v>153</v>
      </c>
      <c r="D554" s="1" t="str">
        <f>IFERROR(
  VLOOKUP(C554, category_map!A:B, 2, FALSE),
  C554
)
</f>
        <v>Gia vị</v>
      </c>
      <c r="E554" s="1">
        <v>30.0</v>
      </c>
      <c r="F554" s="2">
        <v>0.0</v>
      </c>
      <c r="G554" s="3">
        <v>8.0</v>
      </c>
      <c r="H554" s="3">
        <v>0.0</v>
      </c>
      <c r="I554" s="1">
        <v>0.0</v>
      </c>
      <c r="J554" s="3">
        <v>8.0</v>
      </c>
      <c r="K554" s="1">
        <v>0.0</v>
      </c>
      <c r="L554" s="1">
        <v>0.0</v>
      </c>
      <c r="M554" s="1" t="s">
        <v>37</v>
      </c>
      <c r="N554" s="1">
        <v>0.0</v>
      </c>
    </row>
    <row r="555">
      <c r="A555" s="1" t="s">
        <v>1174</v>
      </c>
      <c r="B555" s="1" t="s">
        <v>1175</v>
      </c>
      <c r="C555" s="1" t="s">
        <v>37</v>
      </c>
      <c r="D555" s="1" t="str">
        <f>IFERROR(
  VLOOKUP(C555, category_map!A:B, 2, FALSE),
  C555
)
</f>
        <v>Đồ ăn nhẹ</v>
      </c>
      <c r="E555" s="1">
        <v>2.0</v>
      </c>
      <c r="F555" s="2" t="s">
        <v>25</v>
      </c>
      <c r="G555" s="3" t="s">
        <v>24</v>
      </c>
      <c r="H555" s="3">
        <v>0.0</v>
      </c>
      <c r="I555" s="1" t="s">
        <v>25</v>
      </c>
      <c r="J555" s="3">
        <v>0.0</v>
      </c>
      <c r="K555" s="1">
        <v>0.0</v>
      </c>
      <c r="L555" s="1">
        <v>0.0</v>
      </c>
      <c r="M555" s="1" t="s">
        <v>37</v>
      </c>
      <c r="N555" s="1">
        <v>0.0</v>
      </c>
    </row>
    <row r="556">
      <c r="A556" s="1" t="s">
        <v>1176</v>
      </c>
      <c r="B556" s="1" t="s">
        <v>1177</v>
      </c>
      <c r="C556" s="1" t="s">
        <v>211</v>
      </c>
      <c r="D556" s="1" t="str">
        <f>IFERROR(
  VLOOKUP(C556, category_map!A:B, 2, FALSE),
  C556
)
</f>
        <v>Bữa ăn/Rau củ</v>
      </c>
      <c r="E556" s="1">
        <v>100.0</v>
      </c>
      <c r="F556" s="2">
        <v>2.0</v>
      </c>
      <c r="G556" s="3">
        <v>8.0</v>
      </c>
      <c r="H556" s="3">
        <v>7.0</v>
      </c>
      <c r="I556" s="1">
        <v>4.0</v>
      </c>
      <c r="J556" s="3">
        <v>2.0</v>
      </c>
      <c r="K556" s="1">
        <v>300.0</v>
      </c>
      <c r="L556" s="1">
        <v>0.0</v>
      </c>
      <c r="M556" s="1" t="s">
        <v>37</v>
      </c>
      <c r="N556" s="1">
        <v>0.0</v>
      </c>
    </row>
    <row r="557">
      <c r="A557" s="1" t="s">
        <v>1178</v>
      </c>
      <c r="B557" s="1" t="s">
        <v>1179</v>
      </c>
      <c r="C557" s="1" t="s">
        <v>20</v>
      </c>
      <c r="D557" s="1" t="str">
        <f>IFERROR(
  VLOOKUP(C557, category_map!A:B, 2, FALSE),
  C557
)
</f>
        <v>Ngũ cốc</v>
      </c>
      <c r="E557" s="1">
        <v>165.0</v>
      </c>
      <c r="F557" s="2">
        <v>46147.0</v>
      </c>
      <c r="G557" s="3">
        <v>33.0</v>
      </c>
      <c r="H557" s="3">
        <v>46054.0</v>
      </c>
      <c r="I557" s="4">
        <v>46143.0</v>
      </c>
      <c r="J557" s="3">
        <v>46143.0</v>
      </c>
      <c r="K557" s="1">
        <v>310.0</v>
      </c>
      <c r="L557" s="1">
        <v>0.0</v>
      </c>
      <c r="M557" s="1" t="s">
        <v>37</v>
      </c>
      <c r="N557" s="1">
        <v>0.0</v>
      </c>
    </row>
    <row r="558">
      <c r="A558" s="1" t="s">
        <v>1180</v>
      </c>
      <c r="B558" s="1" t="s">
        <v>1181</v>
      </c>
      <c r="C558" s="1" t="s">
        <v>85</v>
      </c>
      <c r="D558" s="1" t="str">
        <f>IFERROR(
  VLOOKUP(C558, category_map!A:B, 2, FALSE),
  C558
)
</f>
        <v>Bữa ăn/Chay</v>
      </c>
      <c r="E558" s="1">
        <v>180.0</v>
      </c>
      <c r="F558" s="2">
        <v>6.0</v>
      </c>
      <c r="G558" s="3">
        <v>18.0</v>
      </c>
      <c r="H558" s="3">
        <v>9.0</v>
      </c>
      <c r="I558" s="1">
        <v>4.0</v>
      </c>
      <c r="J558" s="3">
        <v>1.0</v>
      </c>
      <c r="K558" s="1">
        <v>320.0</v>
      </c>
      <c r="L558" s="1">
        <v>0.0</v>
      </c>
      <c r="M558" s="1" t="s">
        <v>33</v>
      </c>
      <c r="N558" s="1">
        <v>0.0</v>
      </c>
    </row>
    <row r="559">
      <c r="A559" s="1" t="s">
        <v>1182</v>
      </c>
      <c r="B559" s="1" t="s">
        <v>1183</v>
      </c>
      <c r="C559" s="1" t="s">
        <v>153</v>
      </c>
      <c r="D559" s="1" t="str">
        <f>IFERROR(
  VLOOKUP(C559, category_map!A:B, 2, FALSE),
  C559
)
</f>
        <v>Gia vị</v>
      </c>
      <c r="E559" s="1">
        <v>30.0</v>
      </c>
      <c r="F559" s="2">
        <v>1.0</v>
      </c>
      <c r="G559" s="3">
        <v>46143.0</v>
      </c>
      <c r="H559" s="3">
        <v>46144.0</v>
      </c>
      <c r="I559" s="1" t="s">
        <v>36</v>
      </c>
      <c r="J559" s="3">
        <v>0.0</v>
      </c>
      <c r="K559" s="1">
        <v>45.0</v>
      </c>
      <c r="L559" s="1">
        <v>0.0</v>
      </c>
      <c r="M559" s="1" t="s">
        <v>33</v>
      </c>
      <c r="N559" s="1">
        <v>0.0</v>
      </c>
    </row>
    <row r="560">
      <c r="A560" s="1" t="s">
        <v>1184</v>
      </c>
      <c r="B560" s="1" t="s">
        <v>1185</v>
      </c>
      <c r="C560" s="1" t="s">
        <v>46</v>
      </c>
      <c r="D560" s="1" t="str">
        <f>IFERROR(
  VLOOKUP(C560, category_map!A:B, 2, FALSE),
  C560
)
</f>
        <v>Rau củ</v>
      </c>
      <c r="E560" s="1">
        <v>10.0</v>
      </c>
      <c r="F560" s="2" t="s">
        <v>55</v>
      </c>
      <c r="G560" s="3">
        <v>2.0</v>
      </c>
      <c r="H560" s="3">
        <v>0.0</v>
      </c>
      <c r="I560" s="1" t="s">
        <v>36</v>
      </c>
      <c r="J560" s="3">
        <v>1.0</v>
      </c>
      <c r="K560" s="1">
        <v>200.0</v>
      </c>
      <c r="L560" s="1">
        <v>0.0</v>
      </c>
      <c r="M560" s="1" t="s">
        <v>33</v>
      </c>
      <c r="N560" s="1">
        <v>0.0</v>
      </c>
    </row>
    <row r="561">
      <c r="A561" s="1" t="s">
        <v>1186</v>
      </c>
      <c r="B561" s="1" t="s">
        <v>1187</v>
      </c>
      <c r="C561" s="1" t="s">
        <v>61</v>
      </c>
      <c r="D561" s="1" t="str">
        <f>IFERROR(
  VLOOKUP(C561, category_map!A:B, 2, FALSE),
  C561
)
</f>
        <v>Bữa ăn/Chế biến</v>
      </c>
      <c r="E561" s="1">
        <v>550.0</v>
      </c>
      <c r="F561" s="2">
        <v>30.0</v>
      </c>
      <c r="G561" s="3">
        <v>50.0</v>
      </c>
      <c r="H561" s="3">
        <v>25.0</v>
      </c>
      <c r="I561" s="1">
        <v>6.0</v>
      </c>
      <c r="J561" s="3">
        <v>5.0</v>
      </c>
      <c r="K561" s="1">
        <v>1100.0</v>
      </c>
      <c r="L561" s="1">
        <v>80.0</v>
      </c>
      <c r="M561" s="1" t="s">
        <v>33</v>
      </c>
      <c r="N561" s="1">
        <v>250.0</v>
      </c>
    </row>
    <row r="562">
      <c r="A562" s="1" t="s">
        <v>1188</v>
      </c>
      <c r="B562" s="1" t="s">
        <v>1189</v>
      </c>
      <c r="C562" s="1" t="s">
        <v>153</v>
      </c>
      <c r="D562" s="1" t="str">
        <f>IFERROR(
  VLOOKUP(C562, category_map!A:B, 2, FALSE),
  C562
)
</f>
        <v>Gia vị</v>
      </c>
      <c r="E562" s="1">
        <v>90.0</v>
      </c>
      <c r="F562" s="2" t="s">
        <v>25</v>
      </c>
      <c r="G562" s="3">
        <v>1.0</v>
      </c>
      <c r="H562" s="3">
        <v>10.0</v>
      </c>
      <c r="I562" s="1">
        <v>0.0</v>
      </c>
      <c r="J562" s="3" t="s">
        <v>36</v>
      </c>
      <c r="K562" s="1">
        <v>80.0</v>
      </c>
      <c r="L562" s="1">
        <v>5.0</v>
      </c>
      <c r="M562" s="1" t="s">
        <v>33</v>
      </c>
      <c r="N562" s="1">
        <v>0.0</v>
      </c>
    </row>
    <row r="563">
      <c r="A563" s="1" t="s">
        <v>1190</v>
      </c>
      <c r="B563" s="1" t="s">
        <v>1191</v>
      </c>
      <c r="C563" s="1" t="s">
        <v>128</v>
      </c>
      <c r="D563" s="1" t="str">
        <f>IFERROR(
  VLOOKUP(C563, category_map!A:B, 2, FALSE),
  C563
)
</f>
        <v>Đậu</v>
      </c>
      <c r="E563" s="1">
        <v>130.0</v>
      </c>
      <c r="F563" s="2">
        <v>5.0</v>
      </c>
      <c r="G563" s="3">
        <v>10.0</v>
      </c>
      <c r="H563" s="3">
        <v>8.0</v>
      </c>
      <c r="I563" s="1">
        <v>4.0</v>
      </c>
      <c r="J563" s="3">
        <v>1.0</v>
      </c>
      <c r="K563" s="1">
        <v>250.0</v>
      </c>
      <c r="L563" s="1">
        <v>0.0</v>
      </c>
      <c r="M563" s="1" t="s">
        <v>33</v>
      </c>
      <c r="N563" s="1">
        <v>0.0</v>
      </c>
    </row>
    <row r="564">
      <c r="A564" s="1" t="s">
        <v>1192</v>
      </c>
      <c r="B564" s="1" t="s">
        <v>1193</v>
      </c>
      <c r="C564" s="1" t="s">
        <v>85</v>
      </c>
      <c r="D564" s="1" t="str">
        <f>IFERROR(
  VLOOKUP(C564, category_map!A:B, 2, FALSE),
  C564
)
</f>
        <v>Bữa ăn/Chay</v>
      </c>
      <c r="E564" s="1">
        <v>120.0</v>
      </c>
      <c r="F564" s="2">
        <v>3.0</v>
      </c>
      <c r="G564" s="3">
        <v>15.0</v>
      </c>
      <c r="H564" s="3">
        <v>6.0</v>
      </c>
      <c r="I564" s="1">
        <v>4.0</v>
      </c>
      <c r="J564" s="3">
        <v>2.0</v>
      </c>
      <c r="K564" s="1">
        <v>300.0</v>
      </c>
      <c r="L564" s="1">
        <v>0.0</v>
      </c>
      <c r="M564" s="1" t="s">
        <v>33</v>
      </c>
      <c r="N564" s="1">
        <v>0.0</v>
      </c>
    </row>
    <row r="565">
      <c r="A565" s="1" t="s">
        <v>1194</v>
      </c>
      <c r="B565" s="1" t="s">
        <v>1195</v>
      </c>
      <c r="C565" s="1" t="s">
        <v>20</v>
      </c>
      <c r="D565" s="1" t="str">
        <f>IFERROR(
  VLOOKUP(C565, category_map!A:B, 2, FALSE),
  C565
)
</f>
        <v>Ngũ cốc</v>
      </c>
      <c r="E565" s="1">
        <v>76.0</v>
      </c>
      <c r="F565" s="2">
        <v>46205.0</v>
      </c>
      <c r="G565" s="3">
        <v>46250.0</v>
      </c>
      <c r="H565" s="3" t="s">
        <v>55</v>
      </c>
      <c r="I565" s="4">
        <v>46026.0</v>
      </c>
      <c r="J565" s="3" t="s">
        <v>25</v>
      </c>
      <c r="K565" s="1">
        <v>4.0</v>
      </c>
      <c r="L565" s="1">
        <v>0.0</v>
      </c>
      <c r="M565" s="1" t="s">
        <v>33</v>
      </c>
      <c r="N565" s="1">
        <v>0.0</v>
      </c>
    </row>
    <row r="566">
      <c r="A566" s="1" t="s">
        <v>1196</v>
      </c>
      <c r="B566" s="1" t="s">
        <v>1197</v>
      </c>
      <c r="C566" s="1" t="s">
        <v>46</v>
      </c>
      <c r="D566" s="1" t="str">
        <f>IFERROR(
  VLOOKUP(C566, category_map!A:B, 2, FALSE),
  C566
)
</f>
        <v>Rau củ</v>
      </c>
      <c r="E566" s="1">
        <v>5.0</v>
      </c>
      <c r="F566" s="2" t="s">
        <v>24</v>
      </c>
      <c r="G566" s="3">
        <v>1.0</v>
      </c>
      <c r="H566" s="3" t="s">
        <v>25</v>
      </c>
      <c r="I566" s="1" t="s">
        <v>36</v>
      </c>
      <c r="J566" s="3" t="s">
        <v>25</v>
      </c>
      <c r="K566" s="1">
        <v>5.0</v>
      </c>
      <c r="L566" s="1">
        <v>0.0</v>
      </c>
      <c r="M566" s="1" t="s">
        <v>33</v>
      </c>
      <c r="N566" s="1">
        <v>0.0</v>
      </c>
    </row>
    <row r="567">
      <c r="A567" s="1" t="s">
        <v>1198</v>
      </c>
      <c r="B567" s="1" t="s">
        <v>1199</v>
      </c>
      <c r="C567" s="1" t="s">
        <v>153</v>
      </c>
      <c r="D567" s="1" t="str">
        <f>IFERROR(
  VLOOKUP(C567, category_map!A:B, 2, FALSE),
  C567
)
</f>
        <v>Gia vị</v>
      </c>
      <c r="E567" s="1">
        <v>1.0</v>
      </c>
      <c r="F567" s="2" t="s">
        <v>25</v>
      </c>
      <c r="G567" s="3" t="s">
        <v>25</v>
      </c>
      <c r="H567" s="3">
        <v>0.0</v>
      </c>
      <c r="I567" s="1" t="s">
        <v>25</v>
      </c>
      <c r="J567" s="3">
        <v>0.0</v>
      </c>
      <c r="K567" s="1">
        <v>0.0</v>
      </c>
      <c r="L567" s="1">
        <v>0.0</v>
      </c>
      <c r="M567" s="1" t="s">
        <v>33</v>
      </c>
      <c r="N567" s="1">
        <v>0.0</v>
      </c>
    </row>
    <row r="568">
      <c r="A568" s="1" t="s">
        <v>1200</v>
      </c>
      <c r="B568" s="1" t="s">
        <v>1201</v>
      </c>
      <c r="C568" s="1" t="s">
        <v>153</v>
      </c>
      <c r="D568" s="1" t="str">
        <f>IFERROR(
  VLOOKUP(C568, category_map!A:B, 2, FALSE),
  C568
)
</f>
        <v>Gia vị</v>
      </c>
      <c r="E568" s="1">
        <v>4.0</v>
      </c>
      <c r="F568" s="2" t="s">
        <v>25</v>
      </c>
      <c r="G568" s="3">
        <v>46082.0</v>
      </c>
      <c r="H568" s="3">
        <v>0.0</v>
      </c>
      <c r="I568" s="1" t="s">
        <v>25</v>
      </c>
      <c r="J568" s="3" t="s">
        <v>55</v>
      </c>
      <c r="K568" s="1">
        <v>0.0</v>
      </c>
      <c r="L568" s="1">
        <v>0.0</v>
      </c>
      <c r="M568" s="1" t="s">
        <v>33</v>
      </c>
      <c r="N568" s="1">
        <v>0.0</v>
      </c>
    </row>
    <row r="569">
      <c r="A569" s="1" t="s">
        <v>1202</v>
      </c>
      <c r="B569" s="1" t="s">
        <v>1203</v>
      </c>
      <c r="C569" s="1" t="s">
        <v>153</v>
      </c>
      <c r="D569" s="1" t="str">
        <f>IFERROR(
  VLOOKUP(C569, category_map!A:B, 2, FALSE),
  C569
)
</f>
        <v>Gia vị</v>
      </c>
      <c r="E569" s="1">
        <v>120.0</v>
      </c>
      <c r="F569" s="2">
        <v>0.0</v>
      </c>
      <c r="G569" s="3">
        <v>0.0</v>
      </c>
      <c r="H569" s="3">
        <v>14.0</v>
      </c>
      <c r="I569" s="1">
        <v>0.0</v>
      </c>
      <c r="J569" s="3">
        <v>0.0</v>
      </c>
      <c r="K569" s="1">
        <v>0.0</v>
      </c>
      <c r="L569" s="1">
        <v>0.0</v>
      </c>
      <c r="M569" s="1" t="s">
        <v>33</v>
      </c>
      <c r="N569" s="1">
        <v>0.0</v>
      </c>
    </row>
    <row r="570">
      <c r="A570" s="1" t="s">
        <v>1204</v>
      </c>
      <c r="B570" s="1" t="s">
        <v>1205</v>
      </c>
      <c r="C570" s="1" t="s">
        <v>216</v>
      </c>
      <c r="D570" s="1" t="str">
        <f>IFERROR(
  VLOOKUP(C570, category_map!A:B, 2, FALSE),
  C570
)
</f>
        <v>Bữa ăn/Thịt</v>
      </c>
      <c r="E570" s="1">
        <v>230.0</v>
      </c>
      <c r="F570" s="2">
        <v>9.0</v>
      </c>
      <c r="G570" s="3">
        <v>20.0</v>
      </c>
      <c r="H570" s="3">
        <v>13.0</v>
      </c>
      <c r="I570" s="1">
        <v>3.0</v>
      </c>
      <c r="J570" s="3">
        <v>1.0</v>
      </c>
      <c r="K570" s="1">
        <v>450.0</v>
      </c>
      <c r="L570" s="1">
        <v>30.0</v>
      </c>
      <c r="M570" s="1" t="s">
        <v>37</v>
      </c>
      <c r="N570" s="1">
        <v>0.0</v>
      </c>
    </row>
    <row r="571">
      <c r="A571" s="1" t="s">
        <v>1206</v>
      </c>
      <c r="B571" s="1" t="s">
        <v>1207</v>
      </c>
      <c r="C571" s="1" t="s">
        <v>58</v>
      </c>
      <c r="D571" s="1" t="str">
        <f>IFERROR(
  VLOOKUP(C571, category_map!A:B, 2, FALSE),
  C571
)
</f>
        <v>Hạt</v>
      </c>
      <c r="E571" s="1">
        <v>48.0</v>
      </c>
      <c r="F571" s="2">
        <v>1.0</v>
      </c>
      <c r="G571" s="3">
        <v>1.0</v>
      </c>
      <c r="H571" s="3">
        <v>5.0</v>
      </c>
      <c r="I571" s="1" t="s">
        <v>55</v>
      </c>
      <c r="J571" s="3" t="s">
        <v>55</v>
      </c>
      <c r="K571" s="1">
        <v>0.0</v>
      </c>
      <c r="L571" s="1">
        <v>0.0</v>
      </c>
      <c r="M571" s="1" t="s">
        <v>37</v>
      </c>
      <c r="N571" s="1">
        <v>0.0</v>
      </c>
    </row>
    <row r="572">
      <c r="A572" s="1" t="s">
        <v>1208</v>
      </c>
      <c r="B572" s="1" t="s">
        <v>1209</v>
      </c>
      <c r="C572" s="1" t="s">
        <v>99</v>
      </c>
      <c r="D572" s="1" t="str">
        <f>IFERROR(
  VLOOKUP(C572, category_map!A:B, 2, FALSE),
  C572
)
</f>
        <v>Chất đạm/Thịt</v>
      </c>
      <c r="E572" s="1">
        <v>80.0</v>
      </c>
      <c r="F572" s="2">
        <v>46147.0</v>
      </c>
      <c r="G572" s="3">
        <v>0.0</v>
      </c>
      <c r="H572" s="3">
        <v>6.0</v>
      </c>
      <c r="I572" s="1">
        <v>0.0</v>
      </c>
      <c r="J572" s="3">
        <v>0.0</v>
      </c>
      <c r="K572" s="1">
        <v>20.0</v>
      </c>
      <c r="L572" s="1">
        <v>20.0</v>
      </c>
      <c r="M572" s="1" t="s">
        <v>37</v>
      </c>
      <c r="N572" s="1">
        <v>0.0</v>
      </c>
    </row>
    <row r="573">
      <c r="A573" s="1" t="s">
        <v>1210</v>
      </c>
      <c r="B573" s="1" t="s">
        <v>1211</v>
      </c>
      <c r="C573" s="1" t="s">
        <v>20</v>
      </c>
      <c r="D573" s="1" t="str">
        <f>IFERROR(
  VLOOKUP(C573, category_map!A:B, 2, FALSE),
  C573
)
</f>
        <v>Ngũ cốc</v>
      </c>
      <c r="E573" s="1">
        <v>15.0</v>
      </c>
      <c r="F573" s="2" t="s">
        <v>36</v>
      </c>
      <c r="G573" s="3">
        <v>46115.0</v>
      </c>
      <c r="H573" s="3">
        <v>0.0</v>
      </c>
      <c r="I573" s="1" t="s">
        <v>131</v>
      </c>
      <c r="J573" s="3">
        <v>0.0</v>
      </c>
      <c r="K573" s="1">
        <v>1.0</v>
      </c>
      <c r="L573" s="1">
        <v>0.0</v>
      </c>
      <c r="M573" s="1" t="s">
        <v>37</v>
      </c>
      <c r="N573" s="1">
        <v>0.0</v>
      </c>
    </row>
    <row r="574">
      <c r="A574" s="1" t="s">
        <v>1212</v>
      </c>
      <c r="B574" s="1" t="s">
        <v>1213</v>
      </c>
      <c r="C574" s="1" t="s">
        <v>79</v>
      </c>
      <c r="D574" s="1" t="str">
        <f>IFERROR(
  VLOOKUP(C574, category_map!A:B, 2, FALSE),
  C574
)
</f>
        <v>Bữa ăn/Đậu</v>
      </c>
      <c r="E574" s="1">
        <v>200.0</v>
      </c>
      <c r="F574" s="2">
        <v>10.0</v>
      </c>
      <c r="G574" s="3">
        <v>30.0</v>
      </c>
      <c r="H574" s="3">
        <v>5.0</v>
      </c>
      <c r="I574" s="1">
        <v>10.0</v>
      </c>
      <c r="J574" s="3">
        <v>4.0</v>
      </c>
      <c r="K574" s="1">
        <v>700.0</v>
      </c>
      <c r="L574" s="1">
        <v>0.0</v>
      </c>
      <c r="M574" s="1" t="s">
        <v>33</v>
      </c>
      <c r="N574" s="1">
        <v>250.0</v>
      </c>
    </row>
    <row r="575">
      <c r="A575" s="1" t="s">
        <v>1214</v>
      </c>
      <c r="B575" s="1" t="s">
        <v>1215</v>
      </c>
      <c r="C575" s="1" t="s">
        <v>153</v>
      </c>
      <c r="D575" s="1" t="str">
        <f>IFERROR(
  VLOOKUP(C575, category_map!A:B, 2, FALSE),
  C575
)
</f>
        <v>Gia vị</v>
      </c>
      <c r="E575" s="1">
        <v>8.0</v>
      </c>
      <c r="F575" s="2" t="s">
        <v>24</v>
      </c>
      <c r="G575" s="3">
        <v>46143.0</v>
      </c>
      <c r="H575" s="3" t="s">
        <v>36</v>
      </c>
      <c r="I575" s="1" t="s">
        <v>29</v>
      </c>
      <c r="J575" s="3" t="s">
        <v>25</v>
      </c>
      <c r="K575" s="1">
        <v>3.0</v>
      </c>
      <c r="L575" s="1">
        <v>0.0</v>
      </c>
      <c r="M575" s="1" t="s">
        <v>33</v>
      </c>
      <c r="N575" s="1">
        <v>0.0</v>
      </c>
    </row>
    <row r="576">
      <c r="A576" s="1" t="s">
        <v>1216</v>
      </c>
      <c r="B576" s="1" t="s">
        <v>1217</v>
      </c>
      <c r="C576" s="1" t="s">
        <v>153</v>
      </c>
      <c r="D576" s="1" t="str">
        <f>IFERROR(
  VLOOKUP(C576, category_map!A:B, 2, FALSE),
  C576
)
</f>
        <v>Gia vị</v>
      </c>
      <c r="E576" s="1">
        <v>5.0</v>
      </c>
      <c r="F576" s="2" t="s">
        <v>25</v>
      </c>
      <c r="G576" s="3">
        <v>1.0</v>
      </c>
      <c r="H576" s="3" t="s">
        <v>55</v>
      </c>
      <c r="I576" s="1" t="s">
        <v>36</v>
      </c>
      <c r="J576" s="3">
        <v>0.0</v>
      </c>
      <c r="K576" s="1">
        <v>1.0</v>
      </c>
      <c r="L576" s="1">
        <v>0.0</v>
      </c>
      <c r="M576" s="1" t="s">
        <v>33</v>
      </c>
      <c r="N576" s="1">
        <v>0.0</v>
      </c>
    </row>
    <row r="577">
      <c r="A577" s="1" t="s">
        <v>1218</v>
      </c>
      <c r="B577" s="1" t="s">
        <v>1219</v>
      </c>
      <c r="C577" s="1" t="s">
        <v>153</v>
      </c>
      <c r="D577" s="1" t="str">
        <f>IFERROR(
  VLOOKUP(C577, category_map!A:B, 2, FALSE),
  C577
)
</f>
        <v>Gia vị</v>
      </c>
      <c r="E577" s="1">
        <v>1.0</v>
      </c>
      <c r="F577" s="2">
        <v>0.0</v>
      </c>
      <c r="G577" s="3" t="s">
        <v>29</v>
      </c>
      <c r="H577" s="3">
        <v>0.0</v>
      </c>
      <c r="I577" s="1">
        <v>0.0</v>
      </c>
      <c r="J577" s="3" t="s">
        <v>25</v>
      </c>
      <c r="K577" s="1">
        <v>0.0</v>
      </c>
      <c r="L577" s="1">
        <v>0.0</v>
      </c>
      <c r="M577" s="1" t="s">
        <v>33</v>
      </c>
      <c r="N577" s="1">
        <v>0.0</v>
      </c>
    </row>
    <row r="578">
      <c r="A578" s="1" t="s">
        <v>1220</v>
      </c>
      <c r="B578" s="1" t="s">
        <v>1221</v>
      </c>
      <c r="C578" s="1" t="s">
        <v>258</v>
      </c>
      <c r="D578" s="1" t="str">
        <f>IFERROR(
  VLOOKUP(C578, category_map!A:B, 2, FALSE),
  C578
)
</f>
        <v>Đồ ăn nhẹ/Chế biến</v>
      </c>
      <c r="E578" s="1">
        <v>130.0</v>
      </c>
      <c r="F578" s="2">
        <v>3.0</v>
      </c>
      <c r="G578" s="3">
        <v>18.0</v>
      </c>
      <c r="H578" s="3">
        <v>5.0</v>
      </c>
      <c r="I578" s="1">
        <v>2.0</v>
      </c>
      <c r="J578" s="3">
        <v>1.0</v>
      </c>
      <c r="K578" s="1">
        <v>240.0</v>
      </c>
      <c r="L578" s="1">
        <v>0.0</v>
      </c>
      <c r="M578" s="1" t="s">
        <v>33</v>
      </c>
      <c r="N578" s="1">
        <v>0.0</v>
      </c>
    </row>
    <row r="579">
      <c r="A579" s="1" t="s">
        <v>1222</v>
      </c>
      <c r="B579" s="1" t="s">
        <v>1223</v>
      </c>
      <c r="C579" s="1" t="s">
        <v>85</v>
      </c>
      <c r="D579" s="1" t="str">
        <f>IFERROR(
  VLOOKUP(C579, category_map!A:B, 2, FALSE),
  C579
)
</f>
        <v>Bữa ăn/Chay</v>
      </c>
      <c r="E579" s="1">
        <v>300.0</v>
      </c>
      <c r="F579" s="2">
        <v>7.0</v>
      </c>
      <c r="G579" s="3">
        <v>45.0</v>
      </c>
      <c r="H579" s="3">
        <v>10.0</v>
      </c>
      <c r="I579" s="1">
        <v>4.0</v>
      </c>
      <c r="J579" s="3">
        <v>2.0</v>
      </c>
      <c r="K579" s="1">
        <v>500.0</v>
      </c>
      <c r="L579" s="1">
        <v>0.0</v>
      </c>
      <c r="M579" s="1" t="s">
        <v>17</v>
      </c>
      <c r="N579" s="1">
        <v>0.0</v>
      </c>
    </row>
    <row r="580">
      <c r="A580" s="1" t="s">
        <v>1224</v>
      </c>
      <c r="B580" s="1" t="s">
        <v>1225</v>
      </c>
      <c r="C580" s="1" t="s">
        <v>153</v>
      </c>
      <c r="D580" s="1" t="str">
        <f>IFERROR(
  VLOOKUP(C580, category_map!A:B, 2, FALSE),
  C580
)
</f>
        <v>Gia vị</v>
      </c>
      <c r="E580" s="1">
        <v>40.0</v>
      </c>
      <c r="F580" s="2">
        <v>1.0</v>
      </c>
      <c r="G580" s="3">
        <v>3.0</v>
      </c>
      <c r="H580" s="3">
        <v>3.0</v>
      </c>
      <c r="I580" s="4">
        <v>46143.0</v>
      </c>
      <c r="J580" s="3">
        <v>0.0</v>
      </c>
      <c r="K580" s="1">
        <v>150.0</v>
      </c>
      <c r="L580" s="1">
        <v>0.0</v>
      </c>
      <c r="M580" s="1" t="s">
        <v>17</v>
      </c>
      <c r="N580" s="1">
        <v>0.0</v>
      </c>
    </row>
    <row r="581">
      <c r="A581" s="1" t="s">
        <v>1226</v>
      </c>
      <c r="B581" s="1" t="s">
        <v>1227</v>
      </c>
      <c r="C581" s="1" t="s">
        <v>153</v>
      </c>
      <c r="D581" s="1" t="str">
        <f>IFERROR(
  VLOOKUP(C581, category_map!A:B, 2, FALSE),
  C581
)
</f>
        <v>Gia vị</v>
      </c>
      <c r="E581" s="1">
        <v>120.0</v>
      </c>
      <c r="F581" s="2">
        <v>0.0</v>
      </c>
      <c r="G581" s="3">
        <v>0.0</v>
      </c>
      <c r="H581" s="3">
        <v>14.0</v>
      </c>
      <c r="I581" s="1">
        <v>0.0</v>
      </c>
      <c r="J581" s="3">
        <v>0.0</v>
      </c>
      <c r="K581" s="1">
        <v>0.0</v>
      </c>
      <c r="L581" s="1">
        <v>0.0</v>
      </c>
      <c r="M581" s="1" t="s">
        <v>17</v>
      </c>
      <c r="N581" s="1">
        <v>0.0</v>
      </c>
    </row>
    <row r="582">
      <c r="A582" s="1" t="s">
        <v>1228</v>
      </c>
      <c r="B582" s="1" t="s">
        <v>1229</v>
      </c>
      <c r="C582" s="1" t="s">
        <v>50</v>
      </c>
      <c r="D582" s="1" t="str">
        <f>IFERROR(
  VLOOKUP(C582, category_map!A:B, 2, FALSE),
  C582
)
</f>
        <v>Sản phẩm từ sữa</v>
      </c>
      <c r="E582" s="1">
        <v>60.0</v>
      </c>
      <c r="F582" s="2">
        <v>4.0</v>
      </c>
      <c r="G582" s="3">
        <v>2.0</v>
      </c>
      <c r="H582" s="3">
        <v>4.0</v>
      </c>
      <c r="I582" s="1">
        <v>0.0</v>
      </c>
      <c r="J582" s="3">
        <v>2.0</v>
      </c>
      <c r="K582" s="1">
        <v>80.0</v>
      </c>
      <c r="L582" s="1">
        <v>15.0</v>
      </c>
      <c r="M582" s="1" t="s">
        <v>17</v>
      </c>
      <c r="N582" s="1">
        <v>0.0</v>
      </c>
    </row>
    <row r="583">
      <c r="A583" s="1" t="s">
        <v>1230</v>
      </c>
      <c r="B583" s="1" t="s">
        <v>1231</v>
      </c>
      <c r="C583" s="1" t="s">
        <v>46</v>
      </c>
      <c r="D583" s="1" t="str">
        <f>IFERROR(
  VLOOKUP(C583, category_map!A:B, 2, FALSE),
  C583
)
</f>
        <v>Rau củ</v>
      </c>
      <c r="E583" s="1">
        <v>8.0</v>
      </c>
      <c r="F583" s="2" t="s">
        <v>24</v>
      </c>
      <c r="G583" s="3">
        <v>46235.0</v>
      </c>
      <c r="H583" s="3">
        <v>0.0</v>
      </c>
      <c r="I583" s="1" t="s">
        <v>55</v>
      </c>
      <c r="J583" s="3" t="s">
        <v>131</v>
      </c>
      <c r="K583" s="1">
        <v>1.0</v>
      </c>
      <c r="L583" s="1">
        <v>0.0</v>
      </c>
      <c r="M583" s="1" t="s">
        <v>17</v>
      </c>
      <c r="N583" s="1">
        <v>0.0</v>
      </c>
    </row>
    <row r="584">
      <c r="A584" s="1" t="s">
        <v>1232</v>
      </c>
      <c r="B584" s="1" t="s">
        <v>1233</v>
      </c>
      <c r="C584" s="1" t="s">
        <v>46</v>
      </c>
      <c r="D584" s="1" t="str">
        <f>IFERROR(
  VLOOKUP(C584, category_map!A:B, 2, FALSE),
  C584
)
</f>
        <v>Rau củ</v>
      </c>
      <c r="E584" s="1">
        <v>8.0</v>
      </c>
      <c r="F584" s="2" t="s">
        <v>24</v>
      </c>
      <c r="G584" s="3">
        <v>46235.0</v>
      </c>
      <c r="H584" s="3" t="s">
        <v>25</v>
      </c>
      <c r="I584" s="1" t="s">
        <v>36</v>
      </c>
      <c r="J584" s="3">
        <v>46054.0</v>
      </c>
      <c r="K584" s="1">
        <v>2.0</v>
      </c>
      <c r="L584" s="1">
        <v>0.0</v>
      </c>
      <c r="M584" s="1" t="s">
        <v>17</v>
      </c>
      <c r="N584" s="1">
        <v>0.0</v>
      </c>
    </row>
    <row r="585">
      <c r="A585" s="1" t="s">
        <v>1234</v>
      </c>
      <c r="B585" s="1" t="s">
        <v>1235</v>
      </c>
      <c r="C585" s="1" t="s">
        <v>28</v>
      </c>
      <c r="D585" s="1" t="str">
        <f>IFERROR(
  VLOOKUP(C585, category_map!A:B, 2, FALSE),
  C585
)
</f>
        <v>Trái cây</v>
      </c>
      <c r="E585" s="1">
        <v>35.0</v>
      </c>
      <c r="F585" s="2" t="s">
        <v>55</v>
      </c>
      <c r="G585" s="3">
        <v>1.0</v>
      </c>
      <c r="H585" s="3">
        <v>46145.0</v>
      </c>
      <c r="I585" s="1" t="s">
        <v>36</v>
      </c>
      <c r="J585" s="3">
        <v>0.0</v>
      </c>
      <c r="K585" s="1">
        <v>210.0</v>
      </c>
      <c r="L585" s="1">
        <v>0.0</v>
      </c>
      <c r="M585" s="1" t="s">
        <v>17</v>
      </c>
      <c r="N585" s="1">
        <v>0.0</v>
      </c>
    </row>
    <row r="586">
      <c r="A586" s="1" t="s">
        <v>1236</v>
      </c>
      <c r="B586" s="1" t="s">
        <v>1237</v>
      </c>
      <c r="C586" s="1" t="s">
        <v>23</v>
      </c>
      <c r="D586" s="1" t="str">
        <f>IFERROR(
  VLOOKUP(C586, category_map!A:B, 2, FALSE),
  C586
)
</f>
        <v>Đồ uống</v>
      </c>
      <c r="E586" s="1">
        <v>2.0</v>
      </c>
      <c r="F586" s="2" t="s">
        <v>25</v>
      </c>
      <c r="G586" s="3" t="s">
        <v>36</v>
      </c>
      <c r="H586" s="3">
        <v>0.0</v>
      </c>
      <c r="I586" s="1">
        <v>0.0</v>
      </c>
      <c r="J586" s="3">
        <v>0.0</v>
      </c>
      <c r="K586" s="1">
        <v>5.0</v>
      </c>
      <c r="L586" s="1">
        <v>0.0</v>
      </c>
      <c r="M586" s="1" t="s">
        <v>17</v>
      </c>
      <c r="N586" s="1">
        <v>240.0</v>
      </c>
    </row>
    <row r="587">
      <c r="A587" s="1" t="s">
        <v>1238</v>
      </c>
      <c r="B587" s="1" t="s">
        <v>1239</v>
      </c>
      <c r="C587" s="1" t="s">
        <v>85</v>
      </c>
      <c r="D587" s="1" t="str">
        <f>IFERROR(
  VLOOKUP(C587, category_map!A:B, 2, FALSE),
  C587
)
</f>
        <v>Bữa ăn/Chay</v>
      </c>
      <c r="E587" s="1">
        <v>150.0</v>
      </c>
      <c r="F587" s="2">
        <v>3.0</v>
      </c>
      <c r="G587" s="3">
        <v>20.0</v>
      </c>
      <c r="H587" s="3">
        <v>7.0</v>
      </c>
      <c r="I587" s="1">
        <v>3.0</v>
      </c>
      <c r="J587" s="3">
        <v>3.0</v>
      </c>
      <c r="K587" s="1">
        <v>400.0</v>
      </c>
      <c r="L587" s="1">
        <v>0.0</v>
      </c>
      <c r="M587" s="1" t="s">
        <v>37</v>
      </c>
      <c r="N587" s="1">
        <v>0.0</v>
      </c>
    </row>
    <row r="588">
      <c r="A588" s="1" t="s">
        <v>1240</v>
      </c>
      <c r="B588" s="1" t="s">
        <v>1241</v>
      </c>
      <c r="C588" s="1" t="s">
        <v>20</v>
      </c>
      <c r="D588" s="1" t="str">
        <f>IFERROR(
  VLOOKUP(C588, category_map!A:B, 2, FALSE),
  C588
)
</f>
        <v>Ngũ cốc</v>
      </c>
      <c r="E588" s="1">
        <v>51.0</v>
      </c>
      <c r="F588" s="2">
        <v>46023.0</v>
      </c>
      <c r="G588" s="3">
        <v>46033.0</v>
      </c>
      <c r="H588" s="3" t="s">
        <v>25</v>
      </c>
      <c r="I588" s="1" t="s">
        <v>25</v>
      </c>
      <c r="J588" s="3">
        <v>0.0</v>
      </c>
      <c r="K588" s="1">
        <v>0.0</v>
      </c>
      <c r="L588" s="1">
        <v>0.0</v>
      </c>
      <c r="M588" s="1" t="s">
        <v>37</v>
      </c>
      <c r="N588" s="1">
        <v>0.0</v>
      </c>
    </row>
    <row r="589">
      <c r="A589" s="1" t="s">
        <v>1242</v>
      </c>
      <c r="B589" s="1" t="s">
        <v>1243</v>
      </c>
      <c r="C589" s="1" t="s">
        <v>23</v>
      </c>
      <c r="D589" s="1" t="str">
        <f>IFERROR(
  VLOOKUP(C589, category_map!A:B, 2, FALSE),
  C589
)
</f>
        <v>Đồ uống</v>
      </c>
      <c r="E589" s="1">
        <v>5.0</v>
      </c>
      <c r="F589" s="2" t="s">
        <v>55</v>
      </c>
      <c r="G589" s="3" t="s">
        <v>36</v>
      </c>
      <c r="H589" s="3">
        <v>0.0</v>
      </c>
      <c r="I589" s="1">
        <v>0.0</v>
      </c>
      <c r="J589" s="3">
        <v>0.0</v>
      </c>
      <c r="K589" s="1">
        <v>1.0</v>
      </c>
      <c r="L589" s="1">
        <v>0.0</v>
      </c>
      <c r="M589" s="1" t="s">
        <v>37</v>
      </c>
      <c r="N589" s="1">
        <v>60.0</v>
      </c>
    </row>
    <row r="590">
      <c r="A590" s="1" t="s">
        <v>1244</v>
      </c>
      <c r="B590" s="1" t="s">
        <v>1245</v>
      </c>
      <c r="C590" s="1" t="s">
        <v>153</v>
      </c>
      <c r="D590" s="1" t="str">
        <f>IFERROR(
  VLOOKUP(C590, category_map!A:B, 2, FALSE),
  C590
)
</f>
        <v>Gia vị</v>
      </c>
      <c r="E590" s="1">
        <v>1.0</v>
      </c>
      <c r="F590" s="2">
        <v>0.0</v>
      </c>
      <c r="G590" s="3" t="s">
        <v>55</v>
      </c>
      <c r="H590" s="3">
        <v>0.0</v>
      </c>
      <c r="I590" s="1" t="s">
        <v>25</v>
      </c>
      <c r="J590" s="3">
        <v>0.0</v>
      </c>
      <c r="K590" s="1">
        <v>0.0</v>
      </c>
      <c r="L590" s="1">
        <v>0.0</v>
      </c>
      <c r="M590" s="1" t="s">
        <v>37</v>
      </c>
      <c r="N590" s="1">
        <v>0.0</v>
      </c>
    </row>
    <row r="591">
      <c r="A591" s="1" t="s">
        <v>1246</v>
      </c>
      <c r="B591" s="1" t="s">
        <v>1247</v>
      </c>
      <c r="C591" s="1" t="s">
        <v>216</v>
      </c>
      <c r="D591" s="1" t="str">
        <f>IFERROR(
  VLOOKUP(C591, category_map!A:B, 2, FALSE),
  C591
)
</f>
        <v>Bữa ăn/Thịt</v>
      </c>
      <c r="E591" s="1">
        <v>300.0</v>
      </c>
      <c r="F591" s="2">
        <v>35.0</v>
      </c>
      <c r="G591" s="3">
        <v>5.0</v>
      </c>
      <c r="H591" s="3">
        <v>16.0</v>
      </c>
      <c r="I591" s="1">
        <v>1.0</v>
      </c>
      <c r="J591" s="3">
        <v>2.0</v>
      </c>
      <c r="K591" s="1">
        <v>600.0</v>
      </c>
      <c r="L591" s="1">
        <v>100.0</v>
      </c>
      <c r="M591" s="1" t="s">
        <v>41</v>
      </c>
      <c r="N591" s="1">
        <v>0.0</v>
      </c>
    </row>
    <row r="592">
      <c r="A592" s="1" t="s">
        <v>1248</v>
      </c>
      <c r="B592" s="1" t="s">
        <v>1249</v>
      </c>
      <c r="C592" s="1" t="s">
        <v>153</v>
      </c>
      <c r="D592" s="1" t="str">
        <f>IFERROR(
  VLOOKUP(C592, category_map!A:B, 2, FALSE),
  C592
)
</f>
        <v>Gia vị</v>
      </c>
      <c r="E592" s="1">
        <v>90.0</v>
      </c>
      <c r="F592" s="2" t="s">
        <v>25</v>
      </c>
      <c r="G592" s="3">
        <v>1.0</v>
      </c>
      <c r="H592" s="3">
        <v>10.0</v>
      </c>
      <c r="I592" s="1">
        <v>0.0</v>
      </c>
      <c r="J592" s="3" t="s">
        <v>36</v>
      </c>
      <c r="K592" s="1">
        <v>80.0</v>
      </c>
      <c r="L592" s="1">
        <v>5.0</v>
      </c>
      <c r="M592" s="1" t="s">
        <v>41</v>
      </c>
      <c r="N592" s="1">
        <v>0.0</v>
      </c>
    </row>
    <row r="593">
      <c r="A593" s="1" t="s">
        <v>1250</v>
      </c>
      <c r="B593" s="1" t="s">
        <v>1251</v>
      </c>
      <c r="C593" s="1" t="s">
        <v>122</v>
      </c>
      <c r="D593" s="1" t="str">
        <f>IFERROR(
  VLOOKUP(C593, category_map!A:B, 2, FALSE),
  C593
)
</f>
        <v>Rau củ/Chế biến</v>
      </c>
      <c r="E593" s="1">
        <v>340.0</v>
      </c>
      <c r="F593" s="2">
        <v>4.0</v>
      </c>
      <c r="G593" s="3">
        <v>44.0</v>
      </c>
      <c r="H593" s="3">
        <v>17.0</v>
      </c>
      <c r="I593" s="1">
        <v>4.0</v>
      </c>
      <c r="J593" s="3" t="s">
        <v>24</v>
      </c>
      <c r="K593" s="1">
        <v>230.0</v>
      </c>
      <c r="L593" s="1">
        <v>0.0</v>
      </c>
      <c r="M593" s="1" t="s">
        <v>41</v>
      </c>
      <c r="N593" s="1">
        <v>0.0</v>
      </c>
    </row>
    <row r="594">
      <c r="A594" s="1" t="s">
        <v>1252</v>
      </c>
      <c r="B594" s="1" t="s">
        <v>1253</v>
      </c>
      <c r="C594" s="1" t="s">
        <v>46</v>
      </c>
      <c r="D594" s="1" t="str">
        <f>IFERROR(
  VLOOKUP(C594, category_map!A:B, 2, FALSE),
  C594
)
</f>
        <v>Rau củ</v>
      </c>
      <c r="E594" s="1">
        <v>10.0</v>
      </c>
      <c r="F594" s="2" t="s">
        <v>36</v>
      </c>
      <c r="G594" s="3">
        <v>2.0</v>
      </c>
      <c r="H594" s="3">
        <v>0.0</v>
      </c>
      <c r="I594" s="1">
        <v>1.0</v>
      </c>
      <c r="J594" s="3">
        <v>1.0</v>
      </c>
      <c r="K594" s="1">
        <v>300.0</v>
      </c>
      <c r="L594" s="1">
        <v>0.0</v>
      </c>
      <c r="M594" s="1" t="s">
        <v>41</v>
      </c>
      <c r="N594" s="1">
        <v>0.0</v>
      </c>
    </row>
    <row r="595">
      <c r="A595" s="1" t="s">
        <v>1254</v>
      </c>
      <c r="B595" s="1" t="s">
        <v>1255</v>
      </c>
      <c r="C595" s="1" t="s">
        <v>85</v>
      </c>
      <c r="D595" s="1" t="str">
        <f>IFERROR(
  VLOOKUP(C595, category_map!A:B, 2, FALSE),
  C595
)
</f>
        <v>Bữa ăn/Chay</v>
      </c>
      <c r="E595" s="1">
        <v>250.0</v>
      </c>
      <c r="F595" s="2">
        <v>5.0</v>
      </c>
      <c r="G595" s="3">
        <v>25.0</v>
      </c>
      <c r="H595" s="3">
        <v>15.0</v>
      </c>
      <c r="I595" s="1">
        <v>6.0</v>
      </c>
      <c r="J595" s="3">
        <v>5.0</v>
      </c>
      <c r="K595" s="1">
        <v>500.0</v>
      </c>
      <c r="L595" s="1">
        <v>0.0</v>
      </c>
      <c r="M595" s="1" t="s">
        <v>33</v>
      </c>
      <c r="N595" s="1">
        <v>0.0</v>
      </c>
    </row>
    <row r="596">
      <c r="A596" s="1" t="s">
        <v>1256</v>
      </c>
      <c r="B596" s="1" t="s">
        <v>1257</v>
      </c>
      <c r="C596" s="1" t="s">
        <v>20</v>
      </c>
      <c r="D596" s="1" t="str">
        <f>IFERROR(
  VLOOKUP(C596, category_map!A:B, 2, FALSE),
  C596
)
</f>
        <v>Ngũ cốc</v>
      </c>
      <c r="E596" s="1">
        <v>80.0</v>
      </c>
      <c r="F596" s="2">
        <v>2.0</v>
      </c>
      <c r="G596" s="3">
        <v>12.0</v>
      </c>
      <c r="H596" s="3">
        <v>3.0</v>
      </c>
      <c r="I596" s="1">
        <v>1.0</v>
      </c>
      <c r="J596" s="3" t="s">
        <v>36</v>
      </c>
      <c r="K596" s="1">
        <v>150.0</v>
      </c>
      <c r="L596" s="1">
        <v>0.0</v>
      </c>
      <c r="M596" s="1" t="s">
        <v>33</v>
      </c>
      <c r="N596" s="1">
        <v>0.0</v>
      </c>
    </row>
    <row r="597">
      <c r="A597" s="1" t="s">
        <v>1258</v>
      </c>
      <c r="B597" s="1" t="s">
        <v>1259</v>
      </c>
      <c r="C597" s="1" t="s">
        <v>153</v>
      </c>
      <c r="D597" s="1" t="str">
        <f>IFERROR(
  VLOOKUP(C597, category_map!A:B, 2, FALSE),
  C597
)
</f>
        <v>Gia vị</v>
      </c>
      <c r="E597" s="1">
        <v>5.0</v>
      </c>
      <c r="F597" s="2" t="s">
        <v>25</v>
      </c>
      <c r="G597" s="3">
        <v>1.0</v>
      </c>
      <c r="H597" s="3" t="s">
        <v>55</v>
      </c>
      <c r="I597" s="1" t="s">
        <v>36</v>
      </c>
      <c r="J597" s="3">
        <v>0.0</v>
      </c>
      <c r="K597" s="1">
        <v>1.0</v>
      </c>
      <c r="L597" s="1">
        <v>0.0</v>
      </c>
      <c r="M597" s="1" t="s">
        <v>33</v>
      </c>
      <c r="N597" s="1">
        <v>0.0</v>
      </c>
    </row>
    <row r="598">
      <c r="A598" s="1" t="s">
        <v>1260</v>
      </c>
      <c r="B598" s="1" t="s">
        <v>1261</v>
      </c>
      <c r="C598" s="1" t="s">
        <v>153</v>
      </c>
      <c r="D598" s="1" t="str">
        <f>IFERROR(
  VLOOKUP(C598, category_map!A:B, 2, FALSE),
  C598
)
</f>
        <v>Gia vị</v>
      </c>
      <c r="E598" s="1">
        <v>15.0</v>
      </c>
      <c r="F598" s="2">
        <v>0.0</v>
      </c>
      <c r="G598" s="3">
        <v>4.0</v>
      </c>
      <c r="H598" s="3">
        <v>0.0</v>
      </c>
      <c r="I598" s="1">
        <v>0.0</v>
      </c>
      <c r="J598" s="3">
        <v>4.0</v>
      </c>
      <c r="K598" s="1">
        <v>0.0</v>
      </c>
      <c r="L598" s="1">
        <v>0.0</v>
      </c>
      <c r="M598" s="1" t="s">
        <v>33</v>
      </c>
      <c r="N598" s="1">
        <v>0.0</v>
      </c>
    </row>
    <row r="599">
      <c r="F599" s="5"/>
      <c r="G599" s="6"/>
      <c r="H599" s="6"/>
      <c r="J599" s="6"/>
    </row>
    <row r="600">
      <c r="F600" s="5"/>
      <c r="G600" s="6"/>
      <c r="H600" s="6"/>
      <c r="J600" s="6"/>
    </row>
    <row r="601">
      <c r="F601" s="5"/>
      <c r="G601" s="6"/>
      <c r="H601" s="6"/>
      <c r="J601" s="6"/>
    </row>
    <row r="602">
      <c r="F602" s="5"/>
      <c r="G602" s="6"/>
      <c r="H602" s="6"/>
      <c r="J602" s="6"/>
    </row>
    <row r="603">
      <c r="F603" s="5"/>
      <c r="G603" s="6"/>
      <c r="H603" s="6"/>
      <c r="J603" s="6"/>
    </row>
    <row r="604">
      <c r="F604" s="5"/>
      <c r="G604" s="6"/>
      <c r="H604" s="6"/>
      <c r="J604" s="6"/>
    </row>
    <row r="605">
      <c r="F605" s="5"/>
      <c r="G605" s="6"/>
      <c r="H605" s="6"/>
      <c r="J605" s="6"/>
    </row>
    <row r="606">
      <c r="F606" s="5"/>
      <c r="G606" s="6"/>
      <c r="H606" s="6"/>
      <c r="J606" s="6"/>
    </row>
    <row r="607">
      <c r="F607" s="5"/>
      <c r="G607" s="6"/>
      <c r="H607" s="6"/>
      <c r="J607" s="6"/>
    </row>
    <row r="608">
      <c r="F608" s="5"/>
      <c r="G608" s="6"/>
      <c r="H608" s="6"/>
      <c r="J608" s="6"/>
    </row>
    <row r="609">
      <c r="F609" s="5"/>
      <c r="G609" s="6"/>
      <c r="H609" s="6"/>
      <c r="J609" s="6"/>
    </row>
    <row r="610">
      <c r="F610" s="5"/>
      <c r="G610" s="6"/>
      <c r="H610" s="6"/>
      <c r="J610" s="6"/>
    </row>
    <row r="611">
      <c r="F611" s="5"/>
      <c r="G611" s="6"/>
      <c r="H611" s="6"/>
      <c r="J611" s="6"/>
    </row>
    <row r="612">
      <c r="F612" s="5"/>
      <c r="G612" s="6"/>
      <c r="H612" s="6"/>
      <c r="J612" s="6"/>
    </row>
    <row r="613">
      <c r="F613" s="5"/>
      <c r="G613" s="6"/>
      <c r="H613" s="6"/>
      <c r="J613" s="6"/>
    </row>
    <row r="614">
      <c r="F614" s="5"/>
      <c r="G614" s="6"/>
      <c r="H614" s="6"/>
      <c r="J614" s="6"/>
    </row>
    <row r="615">
      <c r="F615" s="5"/>
      <c r="G615" s="6"/>
      <c r="H615" s="6"/>
      <c r="J615" s="6"/>
    </row>
    <row r="616">
      <c r="F616" s="5"/>
      <c r="G616" s="6"/>
      <c r="H616" s="6"/>
      <c r="J616" s="6"/>
    </row>
    <row r="617">
      <c r="F617" s="5"/>
      <c r="G617" s="6"/>
      <c r="H617" s="6"/>
      <c r="J617" s="6"/>
    </row>
    <row r="618">
      <c r="F618" s="5"/>
      <c r="G618" s="6"/>
      <c r="H618" s="6"/>
      <c r="J618" s="6"/>
    </row>
    <row r="619">
      <c r="F619" s="5"/>
      <c r="G619" s="6"/>
      <c r="H619" s="6"/>
      <c r="J619" s="6"/>
    </row>
    <row r="620">
      <c r="F620" s="5"/>
      <c r="G620" s="6"/>
      <c r="H620" s="6"/>
      <c r="J620" s="6"/>
    </row>
    <row r="621">
      <c r="F621" s="5"/>
      <c r="G621" s="6"/>
      <c r="H621" s="6"/>
      <c r="J621" s="6"/>
    </row>
    <row r="622">
      <c r="F622" s="5"/>
      <c r="G622" s="6"/>
      <c r="H622" s="6"/>
      <c r="J622" s="6"/>
    </row>
    <row r="623">
      <c r="F623" s="5"/>
      <c r="G623" s="6"/>
      <c r="H623" s="6"/>
      <c r="J623" s="6"/>
    </row>
    <row r="624">
      <c r="F624" s="5"/>
      <c r="G624" s="6"/>
      <c r="H624" s="6"/>
      <c r="J624" s="6"/>
    </row>
    <row r="625">
      <c r="F625" s="5"/>
      <c r="G625" s="6"/>
      <c r="H625" s="6"/>
      <c r="J625" s="6"/>
    </row>
    <row r="626">
      <c r="F626" s="5"/>
      <c r="G626" s="6"/>
      <c r="H626" s="6"/>
      <c r="J626" s="6"/>
    </row>
    <row r="627">
      <c r="F627" s="5"/>
      <c r="G627" s="6"/>
      <c r="H627" s="6"/>
      <c r="J627" s="6"/>
    </row>
    <row r="628">
      <c r="F628" s="5"/>
      <c r="G628" s="6"/>
      <c r="H628" s="6"/>
      <c r="J628" s="6"/>
    </row>
    <row r="629">
      <c r="F629" s="5"/>
      <c r="G629" s="6"/>
      <c r="H629" s="6"/>
      <c r="J629" s="6"/>
    </row>
    <row r="630">
      <c r="F630" s="5"/>
      <c r="G630" s="6"/>
      <c r="H630" s="6"/>
      <c r="J630" s="6"/>
    </row>
    <row r="631">
      <c r="F631" s="5"/>
      <c r="G631" s="6"/>
      <c r="H631" s="6"/>
      <c r="J631" s="6"/>
    </row>
    <row r="632">
      <c r="F632" s="5"/>
      <c r="G632" s="6"/>
      <c r="H632" s="6"/>
      <c r="J632" s="6"/>
    </row>
    <row r="633">
      <c r="F633" s="5"/>
      <c r="G633" s="6"/>
      <c r="H633" s="6"/>
      <c r="J633" s="6"/>
    </row>
    <row r="634">
      <c r="F634" s="5"/>
      <c r="G634" s="6"/>
      <c r="H634" s="6"/>
      <c r="J634" s="6"/>
    </row>
    <row r="635">
      <c r="F635" s="5"/>
      <c r="G635" s="6"/>
      <c r="H635" s="6"/>
      <c r="J635" s="6"/>
    </row>
    <row r="636">
      <c r="F636" s="5"/>
      <c r="G636" s="6"/>
      <c r="H636" s="6"/>
      <c r="J636" s="6"/>
    </row>
    <row r="637">
      <c r="F637" s="5"/>
      <c r="G637" s="6"/>
      <c r="H637" s="6"/>
      <c r="J637" s="6"/>
    </row>
    <row r="638">
      <c r="F638" s="5"/>
      <c r="G638" s="6"/>
      <c r="H638" s="6"/>
      <c r="J638" s="6"/>
    </row>
    <row r="639">
      <c r="F639" s="5"/>
      <c r="G639" s="6"/>
      <c r="H639" s="6"/>
      <c r="J639" s="6"/>
    </row>
    <row r="640">
      <c r="F640" s="5"/>
      <c r="G640" s="6"/>
      <c r="H640" s="6"/>
      <c r="J640" s="6"/>
    </row>
    <row r="641">
      <c r="F641" s="5"/>
      <c r="G641" s="6"/>
      <c r="H641" s="6"/>
      <c r="J641" s="6"/>
    </row>
    <row r="642">
      <c r="F642" s="5"/>
      <c r="G642" s="6"/>
      <c r="H642" s="6"/>
      <c r="J642" s="6"/>
    </row>
    <row r="643">
      <c r="F643" s="5"/>
      <c r="G643" s="6"/>
      <c r="H643" s="6"/>
      <c r="J643" s="6"/>
    </row>
    <row r="644">
      <c r="F644" s="5"/>
      <c r="G644" s="6"/>
      <c r="H644" s="6"/>
      <c r="J644" s="6"/>
    </row>
    <row r="645">
      <c r="F645" s="5"/>
      <c r="G645" s="6"/>
      <c r="H645" s="6"/>
      <c r="J645" s="6"/>
    </row>
    <row r="646">
      <c r="F646" s="5"/>
      <c r="G646" s="6"/>
      <c r="H646" s="6"/>
      <c r="J646" s="6"/>
    </row>
    <row r="647">
      <c r="F647" s="5"/>
      <c r="G647" s="6"/>
      <c r="H647" s="6"/>
      <c r="J647" s="6"/>
    </row>
    <row r="648">
      <c r="F648" s="5"/>
      <c r="G648" s="6"/>
      <c r="H648" s="6"/>
      <c r="J648" s="6"/>
    </row>
    <row r="649">
      <c r="F649" s="5"/>
      <c r="G649" s="6"/>
      <c r="H649" s="6"/>
      <c r="J649" s="6"/>
    </row>
    <row r="650">
      <c r="F650" s="5"/>
      <c r="G650" s="6"/>
      <c r="H650" s="6"/>
      <c r="J650" s="6"/>
    </row>
    <row r="651">
      <c r="F651" s="5"/>
      <c r="G651" s="6"/>
      <c r="H651" s="6"/>
      <c r="J651" s="6"/>
    </row>
    <row r="652">
      <c r="F652" s="5"/>
      <c r="G652" s="6"/>
      <c r="H652" s="6"/>
      <c r="J652" s="6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autoFilter ref="$C$1:$C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7.0"/>
  </cols>
  <sheetData>
    <row r="1">
      <c r="A1" s="7" t="s">
        <v>1262</v>
      </c>
      <c r="B1" s="7" t="s">
        <v>1263</v>
      </c>
    </row>
    <row r="2">
      <c r="A2" s="1" t="s">
        <v>16</v>
      </c>
      <c r="B2" s="1" t="s">
        <v>1264</v>
      </c>
    </row>
    <row r="3">
      <c r="A3" s="1" t="s">
        <v>20</v>
      </c>
      <c r="B3" s="1" t="s">
        <v>1265</v>
      </c>
    </row>
    <row r="4">
      <c r="A4" s="1" t="s">
        <v>23</v>
      </c>
      <c r="B4" s="1" t="s">
        <v>1266</v>
      </c>
    </row>
    <row r="5">
      <c r="A5" s="1" t="s">
        <v>28</v>
      </c>
      <c r="B5" s="1" t="s">
        <v>1267</v>
      </c>
    </row>
    <row r="6">
      <c r="A6" s="1" t="s">
        <v>32</v>
      </c>
      <c r="B6" s="1" t="s">
        <v>1268</v>
      </c>
    </row>
    <row r="7">
      <c r="A7" s="1" t="s">
        <v>40</v>
      </c>
      <c r="B7" s="1" t="s">
        <v>1269</v>
      </c>
    </row>
    <row r="8">
      <c r="A8" s="1" t="s">
        <v>46</v>
      </c>
      <c r="B8" s="1" t="s">
        <v>1270</v>
      </c>
    </row>
    <row r="9">
      <c r="A9" s="1" t="s">
        <v>50</v>
      </c>
      <c r="B9" s="1" t="s">
        <v>1271</v>
      </c>
    </row>
    <row r="10">
      <c r="A10" s="1" t="s">
        <v>58</v>
      </c>
      <c r="B10" s="1" t="s">
        <v>1272</v>
      </c>
    </row>
    <row r="11">
      <c r="A11" s="1" t="s">
        <v>61</v>
      </c>
      <c r="B11" s="1" t="s">
        <v>1273</v>
      </c>
    </row>
    <row r="12">
      <c r="A12" s="1" t="s">
        <v>66</v>
      </c>
      <c r="B12" s="1" t="s">
        <v>1274</v>
      </c>
    </row>
    <row r="13">
      <c r="A13" s="1" t="s">
        <v>71</v>
      </c>
      <c r="B13" s="1" t="s">
        <v>1275</v>
      </c>
    </row>
    <row r="14">
      <c r="A14" s="1" t="s">
        <v>74</v>
      </c>
      <c r="B14" s="1" t="s">
        <v>1276</v>
      </c>
    </row>
    <row r="15">
      <c r="A15" s="1" t="s">
        <v>79</v>
      </c>
      <c r="B15" s="1" t="s">
        <v>1277</v>
      </c>
    </row>
    <row r="16">
      <c r="A16" s="1" t="s">
        <v>85</v>
      </c>
      <c r="B16" s="1" t="s">
        <v>1278</v>
      </c>
    </row>
    <row r="17">
      <c r="A17" s="1" t="s">
        <v>94</v>
      </c>
      <c r="B17" s="1" t="s">
        <v>1279</v>
      </c>
    </row>
    <row r="18">
      <c r="A18" s="1" t="s">
        <v>99</v>
      </c>
      <c r="B18" s="1" t="s">
        <v>1280</v>
      </c>
    </row>
    <row r="19">
      <c r="A19" s="1" t="s">
        <v>104</v>
      </c>
      <c r="B19" s="1" t="s">
        <v>1281</v>
      </c>
    </row>
    <row r="20">
      <c r="A20" s="1" t="s">
        <v>111</v>
      </c>
      <c r="B20" s="1" t="s">
        <v>1282</v>
      </c>
    </row>
    <row r="21">
      <c r="A21" s="1" t="s">
        <v>122</v>
      </c>
      <c r="B21" s="1" t="s">
        <v>1283</v>
      </c>
    </row>
    <row r="22">
      <c r="A22" s="1" t="s">
        <v>125</v>
      </c>
      <c r="B22" s="1" t="s">
        <v>1284</v>
      </c>
    </row>
    <row r="23">
      <c r="A23" s="1" t="s">
        <v>128</v>
      </c>
      <c r="B23" s="1" t="s">
        <v>1285</v>
      </c>
    </row>
    <row r="24">
      <c r="A24" s="1" t="s">
        <v>144</v>
      </c>
      <c r="B24" s="1" t="s">
        <v>1286</v>
      </c>
    </row>
    <row r="25">
      <c r="A25" s="1" t="s">
        <v>153</v>
      </c>
      <c r="B25" s="1" t="s">
        <v>1287</v>
      </c>
    </row>
    <row r="26">
      <c r="A26" s="1" t="s">
        <v>158</v>
      </c>
      <c r="B26" s="1" t="s">
        <v>1288</v>
      </c>
    </row>
    <row r="27">
      <c r="A27" s="1" t="s">
        <v>161</v>
      </c>
      <c r="B27" s="1" t="s">
        <v>1289</v>
      </c>
    </row>
    <row r="28">
      <c r="A28" s="1" t="s">
        <v>211</v>
      </c>
      <c r="B28" s="1" t="s">
        <v>1290</v>
      </c>
    </row>
    <row r="29">
      <c r="A29" s="1" t="s">
        <v>216</v>
      </c>
      <c r="B29" s="1" t="s">
        <v>1291</v>
      </c>
    </row>
    <row r="30">
      <c r="A30" s="1" t="s">
        <v>221</v>
      </c>
      <c r="B30" s="1" t="s">
        <v>1292</v>
      </c>
    </row>
    <row r="31">
      <c r="A31" s="1" t="s">
        <v>231</v>
      </c>
      <c r="B31" s="1" t="s">
        <v>1293</v>
      </c>
    </row>
    <row r="32">
      <c r="A32" s="1" t="s">
        <v>240</v>
      </c>
      <c r="B32" s="1" t="s">
        <v>1294</v>
      </c>
    </row>
    <row r="33">
      <c r="A33" s="1" t="s">
        <v>253</v>
      </c>
      <c r="B33" s="1" t="s">
        <v>1295</v>
      </c>
    </row>
    <row r="34">
      <c r="A34" s="1" t="s">
        <v>258</v>
      </c>
      <c r="B34" s="1" t="s">
        <v>1296</v>
      </c>
    </row>
    <row r="35">
      <c r="A35" s="1" t="s">
        <v>261</v>
      </c>
      <c r="B35" s="1" t="s">
        <v>1297</v>
      </c>
    </row>
    <row r="36">
      <c r="A36" s="1" t="s">
        <v>264</v>
      </c>
      <c r="B36" s="1" t="s">
        <v>1298</v>
      </c>
    </row>
    <row r="37">
      <c r="A37" s="1" t="s">
        <v>267</v>
      </c>
      <c r="B37" s="1" t="s">
        <v>1299</v>
      </c>
    </row>
    <row r="38">
      <c r="A38" s="1" t="s">
        <v>319</v>
      </c>
      <c r="B38" s="1" t="s">
        <v>1300</v>
      </c>
    </row>
    <row r="39">
      <c r="A39" s="1" t="s">
        <v>342</v>
      </c>
      <c r="B39" s="1" t="s">
        <v>1301</v>
      </c>
    </row>
    <row r="40">
      <c r="A40" s="1" t="s">
        <v>451</v>
      </c>
      <c r="B40" s="1" t="s">
        <v>1302</v>
      </c>
    </row>
    <row r="41">
      <c r="A41" s="1" t="s">
        <v>37</v>
      </c>
      <c r="B41" s="1" t="s">
        <v>1303</v>
      </c>
    </row>
    <row r="42">
      <c r="A42" s="1" t="s">
        <v>619</v>
      </c>
      <c r="B42" s="1" t="s">
        <v>1304</v>
      </c>
    </row>
    <row r="43">
      <c r="A43" s="1" t="s">
        <v>700</v>
      </c>
      <c r="B43" s="1" t="s">
        <v>1305</v>
      </c>
    </row>
    <row r="44">
      <c r="A44" s="1" t="s">
        <v>774</v>
      </c>
      <c r="B44" s="1" t="s">
        <v>1306</v>
      </c>
    </row>
    <row r="45">
      <c r="A45" s="1" t="s">
        <v>797</v>
      </c>
      <c r="B45" s="1" t="s">
        <v>1307</v>
      </c>
    </row>
    <row r="46">
      <c r="A46" s="1" t="s">
        <v>908</v>
      </c>
      <c r="B46" s="1" t="s">
        <v>1308</v>
      </c>
    </row>
    <row r="47">
      <c r="A47" s="1" t="s">
        <v>1042</v>
      </c>
      <c r="B47" s="1" t="s">
        <v>1309</v>
      </c>
    </row>
  </sheetData>
  <drawing r:id="rId1"/>
</worksheet>
</file>